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SCHOOL DOCS\weekly exams\week 2\"/>
    </mc:Choice>
  </mc:AlternateContent>
  <bookViews>
    <workbookView xWindow="0" yWindow="0" windowWidth="25200" windowHeight="11730" activeTab="1"/>
  </bookViews>
  <sheets>
    <sheet name="MARKS" sheetId="1" r:id="rId1"/>
    <sheet name="Grades" sheetId="5" r:id="rId2"/>
  </sheets>
  <definedNames>
    <definedName name="_xlnm.Print_Area" localSheetId="1">Grades!$A$1:$M$39</definedName>
    <definedName name="_xlnm.Print_Area" localSheetId="0">MARKS!$A$1:$O$39</definedName>
    <definedName name="_xlnm.Print_Titles" localSheetId="0">MARKS!$6:$6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5" l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F36" i="1"/>
  <c r="G36" i="1"/>
  <c r="H36" i="1"/>
  <c r="I36" i="1"/>
  <c r="J36" i="1"/>
  <c r="K36" i="1"/>
  <c r="L36" i="1"/>
  <c r="E36" i="1"/>
  <c r="E35" i="1"/>
  <c r="F35" i="1"/>
  <c r="G35" i="1"/>
  <c r="H35" i="1"/>
  <c r="I35" i="1"/>
  <c r="J35" i="1"/>
  <c r="K35" i="1"/>
  <c r="L35" i="1"/>
  <c r="E6" i="5"/>
  <c r="F6" i="5"/>
  <c r="G6" i="5"/>
  <c r="H6" i="5"/>
  <c r="I6" i="5"/>
  <c r="J6" i="5"/>
  <c r="K6" i="5"/>
  <c r="L6" i="5"/>
  <c r="E8" i="5"/>
  <c r="F8" i="5"/>
  <c r="G8" i="5"/>
  <c r="H8" i="5"/>
  <c r="I8" i="5"/>
  <c r="J8" i="5"/>
  <c r="K8" i="5"/>
  <c r="L8" i="5"/>
  <c r="E9" i="5"/>
  <c r="F9" i="5"/>
  <c r="G9" i="5"/>
  <c r="H9" i="5"/>
  <c r="I9" i="5"/>
  <c r="J9" i="5"/>
  <c r="K9" i="5"/>
  <c r="L9" i="5"/>
  <c r="E10" i="5"/>
  <c r="F10" i="5"/>
  <c r="G10" i="5"/>
  <c r="H10" i="5"/>
  <c r="I10" i="5"/>
  <c r="J10" i="5"/>
  <c r="K10" i="5"/>
  <c r="L10" i="5"/>
  <c r="E11" i="5"/>
  <c r="F11" i="5"/>
  <c r="G11" i="5"/>
  <c r="H11" i="5"/>
  <c r="I11" i="5"/>
  <c r="J11" i="5"/>
  <c r="K11" i="5"/>
  <c r="L11" i="5"/>
  <c r="E12" i="5"/>
  <c r="F12" i="5"/>
  <c r="G12" i="5"/>
  <c r="H12" i="5"/>
  <c r="I12" i="5"/>
  <c r="J12" i="5"/>
  <c r="K12" i="5"/>
  <c r="L12" i="5"/>
  <c r="E13" i="5"/>
  <c r="F13" i="5"/>
  <c r="G13" i="5"/>
  <c r="H13" i="5"/>
  <c r="I13" i="5"/>
  <c r="J13" i="5"/>
  <c r="K13" i="5"/>
  <c r="L13" i="5"/>
  <c r="E14" i="5"/>
  <c r="F14" i="5"/>
  <c r="G14" i="5"/>
  <c r="H14" i="5"/>
  <c r="I14" i="5"/>
  <c r="J14" i="5"/>
  <c r="K14" i="5"/>
  <c r="L14" i="5"/>
  <c r="E15" i="5"/>
  <c r="F15" i="5"/>
  <c r="G15" i="5"/>
  <c r="H15" i="5"/>
  <c r="I15" i="5"/>
  <c r="J15" i="5"/>
  <c r="K15" i="5"/>
  <c r="L15" i="5"/>
  <c r="E16" i="5"/>
  <c r="F16" i="5"/>
  <c r="G16" i="5"/>
  <c r="H16" i="5"/>
  <c r="I16" i="5"/>
  <c r="J16" i="5"/>
  <c r="K16" i="5"/>
  <c r="L16" i="5"/>
  <c r="E17" i="5"/>
  <c r="F17" i="5"/>
  <c r="G17" i="5"/>
  <c r="H17" i="5"/>
  <c r="I17" i="5"/>
  <c r="J17" i="5"/>
  <c r="K17" i="5"/>
  <c r="L17" i="5"/>
  <c r="E18" i="5"/>
  <c r="F18" i="5"/>
  <c r="G18" i="5"/>
  <c r="H18" i="5"/>
  <c r="I18" i="5"/>
  <c r="J18" i="5"/>
  <c r="K18" i="5"/>
  <c r="L18" i="5"/>
  <c r="E19" i="5"/>
  <c r="F19" i="5"/>
  <c r="G19" i="5"/>
  <c r="H19" i="5"/>
  <c r="I19" i="5"/>
  <c r="J19" i="5"/>
  <c r="K19" i="5"/>
  <c r="L19" i="5"/>
  <c r="E20" i="5"/>
  <c r="F20" i="5"/>
  <c r="G20" i="5"/>
  <c r="H20" i="5"/>
  <c r="I20" i="5"/>
  <c r="J20" i="5"/>
  <c r="K20" i="5"/>
  <c r="L20" i="5"/>
  <c r="E21" i="5"/>
  <c r="F21" i="5"/>
  <c r="G21" i="5"/>
  <c r="H21" i="5"/>
  <c r="I21" i="5"/>
  <c r="J21" i="5"/>
  <c r="K21" i="5"/>
  <c r="L21" i="5"/>
  <c r="E22" i="5"/>
  <c r="F22" i="5"/>
  <c r="G22" i="5"/>
  <c r="H22" i="5"/>
  <c r="I22" i="5"/>
  <c r="J22" i="5"/>
  <c r="K22" i="5"/>
  <c r="L22" i="5"/>
  <c r="E23" i="5"/>
  <c r="F23" i="5"/>
  <c r="G23" i="5"/>
  <c r="H23" i="5"/>
  <c r="I23" i="5"/>
  <c r="J23" i="5"/>
  <c r="K23" i="5"/>
  <c r="L23" i="5"/>
  <c r="E24" i="5"/>
  <c r="F24" i="5"/>
  <c r="G24" i="5"/>
  <c r="H24" i="5"/>
  <c r="I24" i="5"/>
  <c r="J24" i="5"/>
  <c r="K24" i="5"/>
  <c r="L24" i="5"/>
  <c r="E25" i="5"/>
  <c r="F25" i="5"/>
  <c r="G25" i="5"/>
  <c r="H25" i="5"/>
  <c r="I25" i="5"/>
  <c r="J25" i="5"/>
  <c r="K25" i="5"/>
  <c r="L25" i="5"/>
  <c r="E26" i="5"/>
  <c r="F26" i="5"/>
  <c r="G26" i="5"/>
  <c r="H26" i="5"/>
  <c r="I26" i="5"/>
  <c r="J26" i="5"/>
  <c r="K26" i="5"/>
  <c r="L26" i="5"/>
  <c r="E27" i="5"/>
  <c r="F27" i="5"/>
  <c r="G27" i="5"/>
  <c r="H27" i="5"/>
  <c r="I27" i="5"/>
  <c r="J27" i="5"/>
  <c r="K27" i="5"/>
  <c r="L27" i="5"/>
  <c r="E28" i="5"/>
  <c r="F28" i="5"/>
  <c r="G28" i="5"/>
  <c r="H28" i="5"/>
  <c r="I28" i="5"/>
  <c r="J28" i="5"/>
  <c r="K28" i="5"/>
  <c r="L28" i="5"/>
  <c r="E29" i="5"/>
  <c r="F29" i="5"/>
  <c r="G29" i="5"/>
  <c r="H29" i="5"/>
  <c r="I29" i="5"/>
  <c r="J29" i="5"/>
  <c r="K29" i="5"/>
  <c r="L29" i="5"/>
  <c r="E30" i="5"/>
  <c r="F30" i="5"/>
  <c r="G30" i="5"/>
  <c r="H30" i="5"/>
  <c r="I30" i="5"/>
  <c r="J30" i="5"/>
  <c r="K30" i="5"/>
  <c r="L30" i="5"/>
  <c r="E31" i="5"/>
  <c r="F31" i="5"/>
  <c r="G31" i="5"/>
  <c r="H31" i="5"/>
  <c r="I31" i="5"/>
  <c r="J31" i="5"/>
  <c r="K31" i="5"/>
  <c r="L31" i="5"/>
  <c r="E32" i="5"/>
  <c r="F32" i="5"/>
  <c r="G32" i="5"/>
  <c r="H32" i="5"/>
  <c r="I32" i="5"/>
  <c r="J32" i="5"/>
  <c r="K32" i="5"/>
  <c r="L32" i="5"/>
  <c r="E33" i="5"/>
  <c r="F33" i="5"/>
  <c r="G33" i="5"/>
  <c r="H33" i="5"/>
  <c r="I33" i="5"/>
  <c r="J33" i="5"/>
  <c r="K33" i="5"/>
  <c r="L33" i="5"/>
  <c r="E34" i="5"/>
  <c r="F34" i="5"/>
  <c r="G34" i="5"/>
  <c r="H34" i="5"/>
  <c r="I34" i="5"/>
  <c r="J34" i="5"/>
  <c r="K34" i="5"/>
  <c r="L34" i="5"/>
  <c r="F7" i="5"/>
  <c r="F36" i="5" s="1"/>
  <c r="G7" i="5"/>
  <c r="G36" i="5" s="1"/>
  <c r="H7" i="5"/>
  <c r="H36" i="5" s="1"/>
  <c r="I7" i="5"/>
  <c r="I36" i="5" s="1"/>
  <c r="J7" i="5"/>
  <c r="J36" i="5" s="1"/>
  <c r="K7" i="5"/>
  <c r="K35" i="5" s="1"/>
  <c r="L7" i="5"/>
  <c r="L36" i="5" s="1"/>
  <c r="K36" i="5" l="1"/>
  <c r="J35" i="5"/>
  <c r="F35" i="5"/>
  <c r="G35" i="5"/>
  <c r="I35" i="5"/>
  <c r="L35" i="5"/>
  <c r="H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E7" i="5"/>
  <c r="D7" i="5"/>
  <c r="C7" i="5"/>
  <c r="E36" i="5" l="1"/>
  <c r="E35" i="5"/>
  <c r="M9" i="5"/>
  <c r="M11" i="5"/>
  <c r="M13" i="5"/>
  <c r="M15" i="5"/>
  <c r="M17" i="5"/>
  <c r="M19" i="5"/>
  <c r="M21" i="5"/>
  <c r="M23" i="5"/>
  <c r="M25" i="5"/>
  <c r="M27" i="5"/>
  <c r="M29" i="5"/>
  <c r="M31" i="5"/>
  <c r="M33" i="5"/>
  <c r="M34" i="5"/>
  <c r="M14" i="5"/>
  <c r="M16" i="5"/>
  <c r="M7" i="5"/>
  <c r="M8" i="5"/>
  <c r="M10" i="5"/>
  <c r="M12" i="5"/>
  <c r="M18" i="5"/>
  <c r="M20" i="5"/>
  <c r="M22" i="5"/>
  <c r="M24" i="5"/>
  <c r="M26" i="5"/>
  <c r="M28" i="5"/>
  <c r="M30" i="5"/>
  <c r="M32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7" i="5"/>
  <c r="C6" i="5"/>
  <c r="D6" i="5"/>
  <c r="B6" i="5"/>
  <c r="N27" i="5" l="1"/>
  <c r="N24" i="5"/>
  <c r="N30" i="5"/>
  <c r="N15" i="5"/>
  <c r="N13" i="5"/>
  <c r="N22" i="5"/>
  <c r="L37" i="5"/>
  <c r="J37" i="1"/>
  <c r="N25" i="5"/>
  <c r="N20" i="5"/>
  <c r="N23" i="5"/>
  <c r="N32" i="5"/>
  <c r="N9" i="5"/>
  <c r="N12" i="5"/>
  <c r="N17" i="5"/>
  <c r="N10" i="5"/>
  <c r="N34" i="5"/>
  <c r="N31" i="5"/>
  <c r="I37" i="5"/>
  <c r="N28" i="5"/>
  <c r="N33" i="5"/>
  <c r="N21" i="5"/>
  <c r="N7" i="5"/>
  <c r="N18" i="5"/>
  <c r="N14" i="5"/>
  <c r="N16" i="5"/>
  <c r="N29" i="5"/>
  <c r="N19" i="5"/>
  <c r="N11" i="5"/>
  <c r="N26" i="5"/>
  <c r="H37" i="5"/>
  <c r="E37" i="5"/>
  <c r="J37" i="5"/>
  <c r="K37" i="5"/>
  <c r="N8" i="5"/>
  <c r="F37" i="5"/>
  <c r="G37" i="5"/>
  <c r="H37" i="1"/>
  <c r="K37" i="1"/>
  <c r="F37" i="1"/>
  <c r="G37" i="1"/>
  <c r="I37" i="1"/>
  <c r="E37" i="1"/>
  <c r="L37" i="1"/>
</calcChain>
</file>

<file path=xl/sharedStrings.xml><?xml version="1.0" encoding="utf-8"?>
<sst xmlns="http://schemas.openxmlformats.org/spreadsheetml/2006/main" count="89" uniqueCount="53">
  <si>
    <t>STUDENT NAME</t>
  </si>
  <si>
    <t>GENDER</t>
  </si>
  <si>
    <t>MATHS</t>
  </si>
  <si>
    <t>AGRI</t>
  </si>
  <si>
    <t>IRE</t>
  </si>
  <si>
    <t>SST</t>
  </si>
  <si>
    <t>TOTAL</t>
  </si>
  <si>
    <t>RANK</t>
  </si>
  <si>
    <t>#</t>
  </si>
  <si>
    <t>MEAN SCORE</t>
  </si>
  <si>
    <t>ABU-RAYYAN ACADEMY</t>
  </si>
  <si>
    <t>TERM 3 WEEKLY ASSESSMENTS MARKLIST</t>
  </si>
  <si>
    <t xml:space="preserve">Printed on </t>
  </si>
  <si>
    <t>Grade 6</t>
  </si>
  <si>
    <t>Mr. Wekesa</t>
  </si>
  <si>
    <t>ENG</t>
  </si>
  <si>
    <t>KIS</t>
  </si>
  <si>
    <t>SCIE</t>
  </si>
  <si>
    <t>CAS</t>
  </si>
  <si>
    <t>Abdulatif Ahmed</t>
  </si>
  <si>
    <t>Abdulhafidh Ahmed</t>
  </si>
  <si>
    <t>Ahmad Mubarak</t>
  </si>
  <si>
    <t>Aisha Adan</t>
  </si>
  <si>
    <t>Bushra Abdurahman</t>
  </si>
  <si>
    <t>Hafsa Haret</t>
  </si>
  <si>
    <t>Hafsa Ibrahim</t>
  </si>
  <si>
    <t>Maryam Yusuf</t>
  </si>
  <si>
    <t>Mohammed Abdulaziz</t>
  </si>
  <si>
    <t>Mohammed Hassan</t>
  </si>
  <si>
    <t>Mwanamisi Ali</t>
  </si>
  <si>
    <t>Najah Mohammed</t>
  </si>
  <si>
    <t>Najma Yusuf</t>
  </si>
  <si>
    <t>Ramadhan Ali</t>
  </si>
  <si>
    <t>Sharmake Mohammed</t>
  </si>
  <si>
    <t>Shuaib Bashir</t>
  </si>
  <si>
    <t>Ummulkheir Hamza</t>
  </si>
  <si>
    <t>Ummulkulthum Ibrahim</t>
  </si>
  <si>
    <t>Yusra Abdulatif</t>
  </si>
  <si>
    <t>Zainab Ali</t>
  </si>
  <si>
    <t>Hamdi Hassan</t>
  </si>
  <si>
    <t>Fatma Shariff</t>
  </si>
  <si>
    <t>Mahir Yussuf</t>
  </si>
  <si>
    <t>Balqis Abdirahman</t>
  </si>
  <si>
    <t>Sabrina Abdurahman</t>
  </si>
  <si>
    <t>Anisa Adan</t>
  </si>
  <si>
    <t>Ibrahim Abdi</t>
  </si>
  <si>
    <t>F</t>
  </si>
  <si>
    <t>M</t>
  </si>
  <si>
    <t>Umeyma Omar</t>
  </si>
  <si>
    <t>TOTAL POINTS</t>
  </si>
  <si>
    <t xml:space="preserve"> Asseeement 2</t>
  </si>
  <si>
    <t xml:space="preserve"> Assessment 2</t>
  </si>
  <si>
    <t>Monday, September 29,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</si>
</sst>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0" xfId="0" applyFont="1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/>
    <xf numFmtId="0" fontId="0" fillId="0" borderId="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Border="1"/>
    <xf numFmtId="0" fontId="0" fillId="0" borderId="28" xfId="0" applyBorder="1"/>
    <xf numFmtId="0" fontId="0" fillId="0" borderId="29" xfId="0" applyBorder="1"/>
    <xf numFmtId="164" fontId="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82550</xdr:colOff>
      <xdr:row>0</xdr:row>
      <xdr:rowOff>76200</xdr:rowOff>
    </xdr:from>
    <xdr:to>
      <xdr:col>2</xdr:col>
      <xdr:colOff>911225</xdr:colOff>
      <xdr:row>3</xdr:row>
      <xdr:rowOff>41275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050" y="76200"/>
          <a:ext cx="828675" cy="94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120650</xdr:colOff>
      <xdr:row>0</xdr:row>
      <xdr:rowOff>0</xdr:rowOff>
    </xdr:from>
    <xdr:to>
      <xdr:col>2</xdr:col>
      <xdr:colOff>1190625</xdr:colOff>
      <xdr:row>4</xdr:row>
      <xdr:rowOff>203200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850" y="0"/>
          <a:ext cx="1069975" cy="138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9"/>
  <sheetViews>
    <sheetView zoomScaleNormal="100" workbookViewId="0">
      <pane xSplit="4" ySplit="6" topLeftCell="E25" activePane="bottomRight" state="frozen"/>
      <selection pane="topRight" activeCell="E1" sqref="E1"/>
      <selection pane="bottomLeft" activeCell="A7" sqref="A7"/>
      <selection pane="bottomRight" activeCell="D40" sqref="D40"/>
    </sheetView>
  </sheetViews>
  <sheetFormatPr defaultRowHeight="15" x14ac:dyDescent="0.25"/>
  <cols>
    <col min="3" max="3" width="35.140625" customWidth="1"/>
    <col min="5" max="12" width="10.7109375" customWidth="1"/>
    <col min="13" max="13" width="13.5703125" customWidth="1"/>
    <col min="14" max="14" width="12.5703125" customWidth="1"/>
  </cols>
  <sheetData>
    <row r="2" spans="2:14" ht="46.5" x14ac:dyDescent="0.7">
      <c r="D2" s="51" t="s">
        <v>10</v>
      </c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2:14" ht="15.75" x14ac:dyDescent="0.25">
      <c r="D3" s="52" t="s">
        <v>11</v>
      </c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2:14" ht="15.75" x14ac:dyDescent="0.25">
      <c r="C4" s="29"/>
      <c r="D4" s="29" t="s">
        <v>50</v>
      </c>
      <c r="F4" s="29"/>
      <c r="G4" s="29"/>
      <c r="H4" s="29"/>
      <c r="I4" s="29"/>
      <c r="J4" s="47"/>
      <c r="K4" s="29"/>
      <c r="L4" s="29"/>
      <c r="M4" s="29"/>
      <c r="N4" s="29"/>
    </row>
    <row r="5" spans="2:14" ht="16.5" thickBot="1" x14ac:dyDescent="0.3">
      <c r="L5" s="29"/>
      <c r="M5" s="29"/>
      <c r="N5" s="29"/>
    </row>
    <row r="6" spans="2:14" ht="24" customHeight="1" thickBot="1" x14ac:dyDescent="0.3">
      <c r="B6" s="21" t="s">
        <v>8</v>
      </c>
      <c r="C6" s="18" t="s">
        <v>0</v>
      </c>
      <c r="D6" s="19" t="s">
        <v>1</v>
      </c>
      <c r="E6" s="19" t="s">
        <v>15</v>
      </c>
      <c r="F6" s="19" t="s">
        <v>16</v>
      </c>
      <c r="G6" s="19" t="s">
        <v>2</v>
      </c>
      <c r="H6" s="19" t="s">
        <v>17</v>
      </c>
      <c r="I6" s="19" t="s">
        <v>3</v>
      </c>
      <c r="J6" s="19" t="s">
        <v>5</v>
      </c>
      <c r="K6" s="19" t="s">
        <v>18</v>
      </c>
      <c r="L6" s="19" t="s">
        <v>4</v>
      </c>
      <c r="M6" s="19" t="s">
        <v>6</v>
      </c>
      <c r="N6" s="20" t="s">
        <v>7</v>
      </c>
    </row>
    <row r="7" spans="2:14" ht="24" customHeight="1" x14ac:dyDescent="0.25">
      <c r="B7" s="23">
        <v>1</v>
      </c>
      <c r="C7" s="39" t="s">
        <v>44</v>
      </c>
      <c r="D7" s="2" t="s">
        <v>46</v>
      </c>
      <c r="E7" s="5">
        <v>90</v>
      </c>
      <c r="F7" s="5">
        <v>83</v>
      </c>
      <c r="G7" s="5">
        <v>80</v>
      </c>
      <c r="H7" s="5">
        <v>66</v>
      </c>
      <c r="I7" s="5">
        <v>67</v>
      </c>
      <c r="J7" s="5">
        <v>87</v>
      </c>
      <c r="K7" s="5">
        <v>80</v>
      </c>
      <c r="L7" s="5">
        <v>93</v>
      </c>
      <c r="M7" s="3">
        <f>SUM(E7:L7)</f>
        <v>646</v>
      </c>
      <c r="N7" s="4">
        <f>_xlfn.RANK.EQ(M7,$M$7:$M$34)</f>
        <v>1</v>
      </c>
    </row>
    <row r="8" spans="2:14" ht="24" customHeight="1" x14ac:dyDescent="0.25">
      <c r="B8" s="24">
        <v>2</v>
      </c>
      <c r="C8" s="39" t="s">
        <v>38</v>
      </c>
      <c r="D8" s="1" t="s">
        <v>46</v>
      </c>
      <c r="E8" s="5">
        <v>83</v>
      </c>
      <c r="F8" s="5">
        <v>66</v>
      </c>
      <c r="G8" s="5">
        <v>83</v>
      </c>
      <c r="H8" s="5">
        <v>69</v>
      </c>
      <c r="I8" s="5">
        <v>60</v>
      </c>
      <c r="J8" s="5">
        <v>87</v>
      </c>
      <c r="K8" s="5">
        <v>85</v>
      </c>
      <c r="L8" s="5">
        <v>87</v>
      </c>
      <c r="M8" s="5">
        <f>SUM(E8:L8)</f>
        <v>620</v>
      </c>
      <c r="N8" s="4">
        <f>_xlfn.RANK.EQ(M8,$M$7:$M$34)</f>
        <v>2</v>
      </c>
    </row>
    <row r="9" spans="2:14" ht="24" customHeight="1" x14ac:dyDescent="0.25">
      <c r="B9" s="24">
        <v>3</v>
      </c>
      <c r="C9" s="39" t="s">
        <v>45</v>
      </c>
      <c r="D9" s="1" t="s">
        <v>47</v>
      </c>
      <c r="E9" s="5">
        <v>67</v>
      </c>
      <c r="F9" s="5">
        <v>73</v>
      </c>
      <c r="G9" s="5">
        <v>70</v>
      </c>
      <c r="H9" s="5">
        <v>77</v>
      </c>
      <c r="I9" s="5">
        <v>60</v>
      </c>
      <c r="J9" s="5">
        <v>80</v>
      </c>
      <c r="K9" s="5">
        <v>90</v>
      </c>
      <c r="L9" s="5">
        <v>87</v>
      </c>
      <c r="M9" s="5">
        <f>SUM(E9:L9)</f>
        <v>604</v>
      </c>
      <c r="N9" s="4">
        <f>_xlfn.RANK.EQ(M9,$M$7:$M$34)</f>
        <v>3</v>
      </c>
    </row>
    <row r="10" spans="2:14" ht="24" customHeight="1" x14ac:dyDescent="0.25">
      <c r="B10" s="24">
        <v>4</v>
      </c>
      <c r="C10" s="39" t="s">
        <v>33</v>
      </c>
      <c r="D10" s="1" t="s">
        <v>47</v>
      </c>
      <c r="E10" s="5">
        <v>77</v>
      </c>
      <c r="F10" s="5">
        <v>73</v>
      </c>
      <c r="G10" s="5">
        <v>67</v>
      </c>
      <c r="H10" s="5">
        <v>83</v>
      </c>
      <c r="I10" s="5">
        <v>60</v>
      </c>
      <c r="J10" s="5">
        <v>67</v>
      </c>
      <c r="K10" s="5">
        <v>75</v>
      </c>
      <c r="L10" s="5">
        <v>83</v>
      </c>
      <c r="M10" s="5">
        <f>SUM(E10:L10)</f>
        <v>585</v>
      </c>
      <c r="N10" s="4">
        <f>_xlfn.RANK.EQ(M10,$M$7:$M$34)</f>
        <v>4</v>
      </c>
    </row>
    <row r="11" spans="2:14" ht="24" customHeight="1" x14ac:dyDescent="0.25">
      <c r="B11" s="24">
        <v>5</v>
      </c>
      <c r="C11" s="39" t="s">
        <v>32</v>
      </c>
      <c r="D11" s="1" t="s">
        <v>47</v>
      </c>
      <c r="E11" s="5">
        <v>63</v>
      </c>
      <c r="F11" s="5">
        <v>90</v>
      </c>
      <c r="G11" s="5">
        <v>73</v>
      </c>
      <c r="H11" s="5">
        <v>63</v>
      </c>
      <c r="I11" s="5">
        <v>67</v>
      </c>
      <c r="J11" s="5">
        <v>87</v>
      </c>
      <c r="K11" s="5">
        <v>55</v>
      </c>
      <c r="L11" s="5">
        <v>80</v>
      </c>
      <c r="M11" s="5">
        <f>SUM(E11:L11)</f>
        <v>578</v>
      </c>
      <c r="N11" s="4">
        <f>_xlfn.RANK.EQ(M11,$M$7:$M$34)</f>
        <v>5</v>
      </c>
    </row>
    <row r="12" spans="2:14" ht="24" customHeight="1" x14ac:dyDescent="0.25">
      <c r="B12" s="24">
        <v>6</v>
      </c>
      <c r="C12" s="39" t="s">
        <v>39</v>
      </c>
      <c r="D12" s="1" t="s">
        <v>47</v>
      </c>
      <c r="E12" s="5">
        <v>60</v>
      </c>
      <c r="F12" s="5">
        <v>73</v>
      </c>
      <c r="G12" s="5">
        <v>83</v>
      </c>
      <c r="H12" s="5">
        <v>66</v>
      </c>
      <c r="I12" s="5">
        <v>67</v>
      </c>
      <c r="J12" s="5">
        <v>80</v>
      </c>
      <c r="K12" s="5">
        <v>65</v>
      </c>
      <c r="L12" s="5">
        <v>80</v>
      </c>
      <c r="M12" s="5">
        <f>SUM(E12:L12)</f>
        <v>574</v>
      </c>
      <c r="N12" s="4">
        <f>_xlfn.RANK.EQ(M12,$M$7:$M$34)</f>
        <v>6</v>
      </c>
    </row>
    <row r="13" spans="2:14" ht="24" customHeight="1" x14ac:dyDescent="0.25">
      <c r="B13" s="24">
        <v>7</v>
      </c>
      <c r="C13" s="39" t="s">
        <v>43</v>
      </c>
      <c r="D13" s="1" t="s">
        <v>46</v>
      </c>
      <c r="E13" s="5">
        <v>73</v>
      </c>
      <c r="F13" s="5">
        <v>70</v>
      </c>
      <c r="G13" s="5">
        <v>60</v>
      </c>
      <c r="H13" s="5">
        <v>74</v>
      </c>
      <c r="I13" s="5">
        <v>60</v>
      </c>
      <c r="J13" s="5">
        <v>73</v>
      </c>
      <c r="K13" s="5">
        <v>80</v>
      </c>
      <c r="L13" s="5">
        <v>80</v>
      </c>
      <c r="M13" s="5">
        <f>SUM(E13:L13)</f>
        <v>570</v>
      </c>
      <c r="N13" s="4">
        <f>_xlfn.RANK.EQ(M13,$M$7:$M$34)</f>
        <v>7</v>
      </c>
    </row>
    <row r="14" spans="2:14" ht="24" customHeight="1" x14ac:dyDescent="0.25">
      <c r="B14" s="24">
        <v>8</v>
      </c>
      <c r="C14" s="39" t="s">
        <v>31</v>
      </c>
      <c r="D14" s="1" t="s">
        <v>46</v>
      </c>
      <c r="E14" s="5">
        <v>60</v>
      </c>
      <c r="F14" s="5">
        <v>70</v>
      </c>
      <c r="G14" s="5">
        <v>53</v>
      </c>
      <c r="H14" s="5">
        <v>66</v>
      </c>
      <c r="I14" s="5">
        <v>60</v>
      </c>
      <c r="J14" s="5">
        <v>87</v>
      </c>
      <c r="K14" s="5">
        <v>80</v>
      </c>
      <c r="L14" s="5">
        <v>80</v>
      </c>
      <c r="M14" s="5">
        <f>SUM(E14:L14)</f>
        <v>556</v>
      </c>
      <c r="N14" s="4">
        <f>_xlfn.RANK.EQ(M14,$M$7:$M$34)</f>
        <v>8</v>
      </c>
    </row>
    <row r="15" spans="2:14" ht="24" customHeight="1" x14ac:dyDescent="0.25">
      <c r="B15" s="24">
        <v>9</v>
      </c>
      <c r="C15" s="39" t="s">
        <v>25</v>
      </c>
      <c r="D15" s="1" t="s">
        <v>46</v>
      </c>
      <c r="E15" s="5">
        <v>70</v>
      </c>
      <c r="F15" s="5">
        <v>63</v>
      </c>
      <c r="G15" s="5">
        <v>63</v>
      </c>
      <c r="H15" s="5">
        <v>66</v>
      </c>
      <c r="I15" s="5">
        <v>60</v>
      </c>
      <c r="J15" s="5">
        <v>73</v>
      </c>
      <c r="K15" s="5">
        <v>65</v>
      </c>
      <c r="L15" s="5">
        <v>87</v>
      </c>
      <c r="M15" s="5">
        <f>SUM(E15:L15)</f>
        <v>547</v>
      </c>
      <c r="N15" s="4">
        <f>_xlfn.RANK.EQ(M15,$M$7:$M$34)</f>
        <v>9</v>
      </c>
    </row>
    <row r="16" spans="2:14" ht="24" customHeight="1" x14ac:dyDescent="0.25">
      <c r="B16" s="23">
        <v>10</v>
      </c>
      <c r="C16" s="39" t="s">
        <v>24</v>
      </c>
      <c r="D16" s="2" t="s">
        <v>46</v>
      </c>
      <c r="E16" s="3">
        <v>53</v>
      </c>
      <c r="F16" s="3">
        <v>80</v>
      </c>
      <c r="G16" s="3">
        <v>73</v>
      </c>
      <c r="H16" s="3">
        <v>71</v>
      </c>
      <c r="I16" s="3">
        <v>67</v>
      </c>
      <c r="J16" s="3">
        <v>80</v>
      </c>
      <c r="K16" s="3">
        <v>55</v>
      </c>
      <c r="L16" s="3">
        <v>63</v>
      </c>
      <c r="M16" s="3">
        <f>SUM(E16:L16)</f>
        <v>542</v>
      </c>
      <c r="N16" s="4">
        <f>_xlfn.RANK.EQ(M16,$M$7:$M$34)</f>
        <v>10</v>
      </c>
    </row>
    <row r="17" spans="2:14" ht="24" customHeight="1" x14ac:dyDescent="0.25">
      <c r="B17" s="24">
        <v>11</v>
      </c>
      <c r="C17" s="39" t="s">
        <v>27</v>
      </c>
      <c r="D17" s="1" t="s">
        <v>47</v>
      </c>
      <c r="E17" s="5">
        <v>60</v>
      </c>
      <c r="F17" s="5">
        <v>86</v>
      </c>
      <c r="G17" s="5">
        <v>60</v>
      </c>
      <c r="H17" s="5">
        <v>66</v>
      </c>
      <c r="I17" s="5">
        <v>47</v>
      </c>
      <c r="J17" s="5">
        <v>87</v>
      </c>
      <c r="K17" s="5">
        <v>65</v>
      </c>
      <c r="L17" s="5">
        <v>67</v>
      </c>
      <c r="M17" s="5">
        <f>SUM(E17:L17)</f>
        <v>538</v>
      </c>
      <c r="N17" s="4">
        <f>_xlfn.RANK.EQ(M17,$M$7:$M$34)</f>
        <v>11</v>
      </c>
    </row>
    <row r="18" spans="2:14" ht="24" customHeight="1" x14ac:dyDescent="0.25">
      <c r="B18" s="24">
        <v>12</v>
      </c>
      <c r="C18" s="39" t="s">
        <v>28</v>
      </c>
      <c r="D18" s="1" t="s">
        <v>47</v>
      </c>
      <c r="E18" s="5">
        <v>70</v>
      </c>
      <c r="F18" s="5">
        <v>80</v>
      </c>
      <c r="G18" s="5">
        <v>70</v>
      </c>
      <c r="H18" s="5">
        <v>57</v>
      </c>
      <c r="I18" s="5">
        <v>53</v>
      </c>
      <c r="J18" s="5">
        <v>67</v>
      </c>
      <c r="K18" s="5">
        <v>60</v>
      </c>
      <c r="L18" s="5">
        <v>77</v>
      </c>
      <c r="M18" s="5">
        <f>SUM(E18:L18)</f>
        <v>534</v>
      </c>
      <c r="N18" s="4">
        <f>_xlfn.RANK.EQ(M18,$M$7:$M$34)</f>
        <v>12</v>
      </c>
    </row>
    <row r="19" spans="2:14" ht="24" customHeight="1" x14ac:dyDescent="0.25">
      <c r="B19" s="24">
        <v>13</v>
      </c>
      <c r="C19" s="39" t="s">
        <v>36</v>
      </c>
      <c r="D19" s="1" t="s">
        <v>46</v>
      </c>
      <c r="E19" s="5">
        <v>73</v>
      </c>
      <c r="F19" s="5">
        <v>73</v>
      </c>
      <c r="G19" s="5">
        <v>37</v>
      </c>
      <c r="H19" s="5">
        <v>71</v>
      </c>
      <c r="I19" s="5">
        <v>60</v>
      </c>
      <c r="J19" s="5">
        <v>67</v>
      </c>
      <c r="K19" s="5">
        <v>70</v>
      </c>
      <c r="L19" s="5">
        <v>60</v>
      </c>
      <c r="M19" s="5">
        <f>SUM(E19:L19)</f>
        <v>511</v>
      </c>
      <c r="N19" s="4">
        <f>_xlfn.RANK.EQ(M19,$M$7:$M$34)</f>
        <v>13</v>
      </c>
    </row>
    <row r="20" spans="2:14" ht="24" customHeight="1" x14ac:dyDescent="0.25">
      <c r="B20" s="24">
        <v>14</v>
      </c>
      <c r="C20" s="39" t="s">
        <v>40</v>
      </c>
      <c r="D20" s="1" t="s">
        <v>46</v>
      </c>
      <c r="E20" s="5">
        <v>50</v>
      </c>
      <c r="F20" s="5">
        <v>70</v>
      </c>
      <c r="G20" s="5">
        <v>57</v>
      </c>
      <c r="H20" s="5">
        <v>71</v>
      </c>
      <c r="I20" s="5">
        <v>67</v>
      </c>
      <c r="J20" s="5">
        <v>67</v>
      </c>
      <c r="K20" s="5">
        <v>65</v>
      </c>
      <c r="L20" s="5">
        <v>57</v>
      </c>
      <c r="M20" s="5">
        <f>SUM(E20:L20)</f>
        <v>504</v>
      </c>
      <c r="N20" s="4">
        <f>_xlfn.RANK.EQ(M20,$M$7:$M$34)</f>
        <v>14</v>
      </c>
    </row>
    <row r="21" spans="2:14" ht="24" customHeight="1" x14ac:dyDescent="0.25">
      <c r="B21" s="24">
        <v>15</v>
      </c>
      <c r="C21" s="39" t="s">
        <v>22</v>
      </c>
      <c r="D21" s="1" t="s">
        <v>46</v>
      </c>
      <c r="E21" s="5">
        <v>60</v>
      </c>
      <c r="F21" s="5">
        <v>60</v>
      </c>
      <c r="G21" s="5">
        <v>47</v>
      </c>
      <c r="H21" s="5">
        <v>54</v>
      </c>
      <c r="I21" s="5">
        <v>67</v>
      </c>
      <c r="J21" s="5">
        <v>47</v>
      </c>
      <c r="K21" s="5">
        <v>75</v>
      </c>
      <c r="L21" s="5">
        <v>73</v>
      </c>
      <c r="M21" s="5">
        <f>SUM(E21:L21)</f>
        <v>483</v>
      </c>
      <c r="N21" s="4">
        <f>_xlfn.RANK.EQ(M21,$M$7:$M$34)</f>
        <v>15</v>
      </c>
    </row>
    <row r="22" spans="2:14" ht="24" customHeight="1" x14ac:dyDescent="0.25">
      <c r="B22" s="24">
        <v>16</v>
      </c>
      <c r="C22" s="39" t="s">
        <v>26</v>
      </c>
      <c r="D22" s="1" t="s">
        <v>47</v>
      </c>
      <c r="E22" s="5">
        <v>60</v>
      </c>
      <c r="F22" s="5">
        <v>83</v>
      </c>
      <c r="G22" s="5">
        <v>33</v>
      </c>
      <c r="H22" s="5">
        <v>63</v>
      </c>
      <c r="I22" s="5">
        <v>67</v>
      </c>
      <c r="J22" s="5">
        <v>60</v>
      </c>
      <c r="K22" s="5">
        <v>50</v>
      </c>
      <c r="L22" s="5">
        <v>50</v>
      </c>
      <c r="M22" s="5">
        <f>SUM(E22:L22)</f>
        <v>466</v>
      </c>
      <c r="N22" s="4">
        <f>_xlfn.RANK.EQ(M22,$M$7:$M$34)</f>
        <v>16</v>
      </c>
    </row>
    <row r="23" spans="2:14" ht="24" customHeight="1" x14ac:dyDescent="0.25">
      <c r="B23" s="24">
        <v>17</v>
      </c>
      <c r="C23" s="39" t="s">
        <v>30</v>
      </c>
      <c r="D23" s="1" t="s">
        <v>46</v>
      </c>
      <c r="E23" s="5">
        <v>57</v>
      </c>
      <c r="F23" s="5">
        <v>60</v>
      </c>
      <c r="G23" s="5">
        <v>63</v>
      </c>
      <c r="H23" s="5">
        <v>63</v>
      </c>
      <c r="I23" s="5">
        <v>40</v>
      </c>
      <c r="J23" s="5">
        <v>53</v>
      </c>
      <c r="K23" s="5">
        <v>55</v>
      </c>
      <c r="L23" s="5">
        <v>67</v>
      </c>
      <c r="M23" s="5">
        <f>SUM(E23:L23)</f>
        <v>458</v>
      </c>
      <c r="N23" s="4">
        <f>_xlfn.RANK.EQ(M23,$M$7:$M$34)</f>
        <v>17</v>
      </c>
    </row>
    <row r="24" spans="2:14" ht="24" customHeight="1" x14ac:dyDescent="0.25">
      <c r="B24" s="24">
        <v>18</v>
      </c>
      <c r="C24" s="39" t="s">
        <v>41</v>
      </c>
      <c r="D24" s="1" t="s">
        <v>47</v>
      </c>
      <c r="E24" s="5">
        <v>60</v>
      </c>
      <c r="F24" s="5">
        <v>66</v>
      </c>
      <c r="G24" s="5">
        <v>50</v>
      </c>
      <c r="H24" s="5">
        <v>54</v>
      </c>
      <c r="I24" s="5">
        <v>60</v>
      </c>
      <c r="J24" s="5">
        <v>67</v>
      </c>
      <c r="K24" s="5">
        <v>50</v>
      </c>
      <c r="L24" s="5">
        <v>50</v>
      </c>
      <c r="M24" s="5">
        <f>SUM(E24:L24)</f>
        <v>457</v>
      </c>
      <c r="N24" s="4">
        <f>_xlfn.RANK.EQ(M24,$M$7:$M$34)</f>
        <v>18</v>
      </c>
    </row>
    <row r="25" spans="2:14" ht="24" customHeight="1" x14ac:dyDescent="0.25">
      <c r="B25" s="23">
        <v>19</v>
      </c>
      <c r="C25" s="39" t="s">
        <v>20</v>
      </c>
      <c r="D25" s="2" t="s">
        <v>47</v>
      </c>
      <c r="E25" s="3">
        <v>63</v>
      </c>
      <c r="F25" s="3">
        <v>63</v>
      </c>
      <c r="G25" s="3">
        <v>53</v>
      </c>
      <c r="H25" s="3">
        <v>69</v>
      </c>
      <c r="I25" s="3">
        <v>33</v>
      </c>
      <c r="J25" s="3">
        <v>53</v>
      </c>
      <c r="K25" s="3">
        <v>60</v>
      </c>
      <c r="L25" s="3">
        <v>53</v>
      </c>
      <c r="M25" s="3">
        <f>SUM(E25:L25)</f>
        <v>447</v>
      </c>
      <c r="N25" s="4">
        <f>_xlfn.RANK.EQ(M25,$M$7:$M$34)</f>
        <v>19</v>
      </c>
    </row>
    <row r="26" spans="2:14" ht="24" customHeight="1" x14ac:dyDescent="0.25">
      <c r="B26" s="24">
        <v>20</v>
      </c>
      <c r="C26" s="39" t="s">
        <v>23</v>
      </c>
      <c r="D26" s="1" t="s">
        <v>46</v>
      </c>
      <c r="E26" s="5">
        <v>60</v>
      </c>
      <c r="F26" s="5">
        <v>56</v>
      </c>
      <c r="G26" s="5">
        <v>47</v>
      </c>
      <c r="H26" s="5">
        <v>69</v>
      </c>
      <c r="I26" s="5">
        <v>33</v>
      </c>
      <c r="J26" s="5">
        <v>60</v>
      </c>
      <c r="K26" s="5">
        <v>60</v>
      </c>
      <c r="L26" s="5">
        <v>60</v>
      </c>
      <c r="M26" s="5">
        <f>SUM(E26:L26)</f>
        <v>445</v>
      </c>
      <c r="N26" s="4">
        <f>_xlfn.RANK.EQ(M26,$M$7:$M$34)</f>
        <v>20</v>
      </c>
    </row>
    <row r="27" spans="2:14" ht="24" customHeight="1" x14ac:dyDescent="0.25">
      <c r="B27" s="24">
        <v>21</v>
      </c>
      <c r="C27" s="39" t="s">
        <v>21</v>
      </c>
      <c r="D27" s="1" t="s">
        <v>47</v>
      </c>
      <c r="E27" s="5">
        <v>47</v>
      </c>
      <c r="F27" s="5">
        <v>73</v>
      </c>
      <c r="G27" s="5">
        <v>60</v>
      </c>
      <c r="H27" s="5">
        <v>51</v>
      </c>
      <c r="I27" s="5">
        <v>47</v>
      </c>
      <c r="J27" s="5">
        <v>40</v>
      </c>
      <c r="K27" s="5">
        <v>65</v>
      </c>
      <c r="L27" s="5">
        <v>57</v>
      </c>
      <c r="M27" s="5">
        <f>SUM(E27:L27)</f>
        <v>440</v>
      </c>
      <c r="N27" s="4">
        <f>_xlfn.RANK.EQ(M27,$M$7:$M$34)</f>
        <v>21</v>
      </c>
    </row>
    <row r="28" spans="2:14" ht="24" customHeight="1" x14ac:dyDescent="0.25">
      <c r="B28" s="24">
        <v>22</v>
      </c>
      <c r="C28" s="39" t="s">
        <v>35</v>
      </c>
      <c r="D28" s="1" t="s">
        <v>46</v>
      </c>
      <c r="E28" s="5">
        <v>43</v>
      </c>
      <c r="F28" s="5">
        <v>66</v>
      </c>
      <c r="G28" s="5">
        <v>50</v>
      </c>
      <c r="H28" s="5">
        <v>60</v>
      </c>
      <c r="I28" s="5">
        <v>67</v>
      </c>
      <c r="J28" s="5">
        <v>40</v>
      </c>
      <c r="K28" s="5">
        <v>55</v>
      </c>
      <c r="L28" s="5">
        <v>57</v>
      </c>
      <c r="M28" s="5">
        <f>SUM(E28:L28)</f>
        <v>438</v>
      </c>
      <c r="N28" s="4">
        <f>_xlfn.RANK.EQ(M28,$M$7:$M$34)</f>
        <v>22</v>
      </c>
    </row>
    <row r="29" spans="2:14" ht="24" customHeight="1" x14ac:dyDescent="0.25">
      <c r="B29" s="24">
        <v>23</v>
      </c>
      <c r="C29" s="39" t="s">
        <v>29</v>
      </c>
      <c r="D29" s="1" t="s">
        <v>46</v>
      </c>
      <c r="E29" s="5">
        <v>40</v>
      </c>
      <c r="F29" s="5">
        <v>70</v>
      </c>
      <c r="G29" s="5">
        <v>63</v>
      </c>
      <c r="H29" s="5">
        <v>60</v>
      </c>
      <c r="I29" s="5">
        <v>53</v>
      </c>
      <c r="J29" s="5">
        <v>67</v>
      </c>
      <c r="K29" s="5">
        <v>40</v>
      </c>
      <c r="L29" s="5">
        <v>40</v>
      </c>
      <c r="M29" s="5">
        <f>SUM(E29:L29)</f>
        <v>433</v>
      </c>
      <c r="N29" s="4">
        <f>_xlfn.RANK.EQ(M29,$M$7:$M$34)</f>
        <v>23</v>
      </c>
    </row>
    <row r="30" spans="2:14" ht="24" customHeight="1" x14ac:dyDescent="0.25">
      <c r="B30" s="24">
        <v>24</v>
      </c>
      <c r="C30" s="39" t="s">
        <v>19</v>
      </c>
      <c r="D30" s="1" t="s">
        <v>47</v>
      </c>
      <c r="E30" s="5">
        <v>73</v>
      </c>
      <c r="F30" s="5">
        <v>53</v>
      </c>
      <c r="G30" s="5">
        <v>50</v>
      </c>
      <c r="H30" s="5">
        <v>49</v>
      </c>
      <c r="I30" s="5">
        <v>53</v>
      </c>
      <c r="J30" s="5">
        <v>40</v>
      </c>
      <c r="K30" s="5">
        <v>60</v>
      </c>
      <c r="L30" s="5">
        <v>43</v>
      </c>
      <c r="M30" s="5">
        <f>SUM(E30:L30)</f>
        <v>421</v>
      </c>
      <c r="N30" s="4">
        <f>_xlfn.RANK.EQ(M30,$M$7:$M$34)</f>
        <v>24</v>
      </c>
    </row>
    <row r="31" spans="2:14" ht="24" customHeight="1" x14ac:dyDescent="0.25">
      <c r="B31" s="24">
        <v>25</v>
      </c>
      <c r="C31" s="39" t="s">
        <v>34</v>
      </c>
      <c r="D31" s="1" t="s">
        <v>47</v>
      </c>
      <c r="E31" s="5">
        <v>37</v>
      </c>
      <c r="F31" s="5">
        <v>50</v>
      </c>
      <c r="G31" s="5">
        <v>57</v>
      </c>
      <c r="H31" s="5">
        <v>46</v>
      </c>
      <c r="I31" s="5">
        <v>60</v>
      </c>
      <c r="J31" s="5">
        <v>47</v>
      </c>
      <c r="K31" s="5">
        <v>50</v>
      </c>
      <c r="L31" s="5">
        <v>53</v>
      </c>
      <c r="M31" s="5">
        <f>SUM(E31:L31)</f>
        <v>400</v>
      </c>
      <c r="N31" s="4">
        <f>_xlfn.RANK.EQ(M31,$M$7:$M$34)</f>
        <v>25</v>
      </c>
    </row>
    <row r="32" spans="2:14" ht="24" customHeight="1" x14ac:dyDescent="0.25">
      <c r="B32" s="24">
        <v>26</v>
      </c>
      <c r="C32" s="53" t="s">
        <v>37</v>
      </c>
      <c r="D32" s="1" t="s">
        <v>46</v>
      </c>
      <c r="E32" s="5">
        <v>43</v>
      </c>
      <c r="F32" s="5">
        <v>83</v>
      </c>
      <c r="G32" s="5">
        <v>40</v>
      </c>
      <c r="H32" s="5">
        <v>57</v>
      </c>
      <c r="I32" s="5">
        <v>27</v>
      </c>
      <c r="J32" s="5">
        <v>40</v>
      </c>
      <c r="K32" s="5">
        <v>45</v>
      </c>
      <c r="L32" s="5">
        <v>53</v>
      </c>
      <c r="M32" s="5">
        <f>SUM(E32:L32)</f>
        <v>388</v>
      </c>
      <c r="N32" s="4">
        <f>_xlfn.RANK.EQ(M32,$M$7:$M$34)</f>
        <v>26</v>
      </c>
    </row>
    <row r="33" spans="2:14" ht="24" customHeight="1" x14ac:dyDescent="0.25">
      <c r="B33" s="24">
        <v>27</v>
      </c>
      <c r="C33" s="39" t="s">
        <v>48</v>
      </c>
      <c r="D33" s="1" t="s">
        <v>46</v>
      </c>
      <c r="E33" s="5">
        <v>43</v>
      </c>
      <c r="F33" s="5">
        <v>30</v>
      </c>
      <c r="G33" s="5">
        <v>37</v>
      </c>
      <c r="H33" s="5">
        <v>63</v>
      </c>
      <c r="I33" s="5">
        <v>53</v>
      </c>
      <c r="J33" s="5">
        <v>47</v>
      </c>
      <c r="K33" s="5">
        <v>30</v>
      </c>
      <c r="L33" s="5">
        <v>53</v>
      </c>
      <c r="M33" s="5">
        <f>SUM(E33:L33)</f>
        <v>356</v>
      </c>
      <c r="N33" s="4">
        <f>_xlfn.RANK.EQ(M33,$M$7:$M$34)</f>
        <v>27</v>
      </c>
    </row>
    <row r="34" spans="2:14" ht="24" customHeight="1" thickBot="1" x14ac:dyDescent="0.3">
      <c r="B34" s="23">
        <v>28</v>
      </c>
      <c r="C34" s="54" t="s">
        <v>42</v>
      </c>
      <c r="D34" s="2" t="s">
        <v>46</v>
      </c>
      <c r="E34" s="3">
        <v>43</v>
      </c>
      <c r="F34" s="3">
        <v>26</v>
      </c>
      <c r="G34" s="3">
        <v>27</v>
      </c>
      <c r="H34" s="3">
        <v>29</v>
      </c>
      <c r="I34" s="3">
        <v>33</v>
      </c>
      <c r="J34" s="3">
        <v>40</v>
      </c>
      <c r="K34" s="3">
        <v>45</v>
      </c>
      <c r="L34" s="3">
        <v>17</v>
      </c>
      <c r="M34" s="3">
        <f>SUM(E34:L34)</f>
        <v>260</v>
      </c>
      <c r="N34" s="4">
        <f>_xlfn.RANK.EQ(M34,$M$7:$M$34)</f>
        <v>28</v>
      </c>
    </row>
    <row r="35" spans="2:14" ht="24" customHeight="1" x14ac:dyDescent="0.25">
      <c r="B35" s="48"/>
      <c r="C35" s="25" t="s">
        <v>6</v>
      </c>
      <c r="D35" s="6"/>
      <c r="E35" s="6">
        <f>SUM(E7:E34)</f>
        <v>1678</v>
      </c>
      <c r="F35" s="6">
        <f t="shared" ref="F35:L35" si="0">SUM(F7:F34)</f>
        <v>1889</v>
      </c>
      <c r="G35" s="6">
        <f t="shared" si="0"/>
        <v>1606</v>
      </c>
      <c r="H35" s="6">
        <f t="shared" si="0"/>
        <v>1753</v>
      </c>
      <c r="I35" s="6">
        <f t="shared" si="0"/>
        <v>1548</v>
      </c>
      <c r="J35" s="6">
        <f t="shared" si="0"/>
        <v>1790</v>
      </c>
      <c r="K35" s="6">
        <f t="shared" si="0"/>
        <v>1730</v>
      </c>
      <c r="L35" s="6">
        <f t="shared" si="0"/>
        <v>1807</v>
      </c>
      <c r="M35" s="11"/>
      <c r="N35" s="12"/>
    </row>
    <row r="36" spans="2:14" ht="24" customHeight="1" x14ac:dyDescent="0.25">
      <c r="B36" s="49"/>
      <c r="C36" s="26" t="s">
        <v>9</v>
      </c>
      <c r="D36" s="8"/>
      <c r="E36" s="17">
        <f>AVERAGE(E7:E34)</f>
        <v>59.928571428571431</v>
      </c>
      <c r="F36" s="17">
        <f t="shared" ref="F36:L36" si="1">AVERAGE(F7:F34)</f>
        <v>67.464285714285708</v>
      </c>
      <c r="G36" s="17">
        <f t="shared" si="1"/>
        <v>57.357142857142854</v>
      </c>
      <c r="H36" s="17">
        <f t="shared" si="1"/>
        <v>62.607142857142854</v>
      </c>
      <c r="I36" s="17">
        <f t="shared" si="1"/>
        <v>55.285714285714285</v>
      </c>
      <c r="J36" s="17">
        <f t="shared" si="1"/>
        <v>63.928571428571431</v>
      </c>
      <c r="K36" s="17">
        <f t="shared" si="1"/>
        <v>61.785714285714285</v>
      </c>
      <c r="L36" s="17">
        <f t="shared" si="1"/>
        <v>64.535714285714292</v>
      </c>
      <c r="M36" s="13"/>
      <c r="N36" s="14"/>
    </row>
    <row r="37" spans="2:14" ht="24" customHeight="1" thickBot="1" x14ac:dyDescent="0.3">
      <c r="B37" s="50"/>
      <c r="C37" s="27" t="s">
        <v>7</v>
      </c>
      <c r="D37" s="9"/>
      <c r="E37" s="9">
        <f>_xlfn.RANK.EQ(E36,$E$36:$L$36)</f>
        <v>6</v>
      </c>
      <c r="F37" s="9">
        <f>_xlfn.RANK.EQ(F36,$E$36:$L$36)</f>
        <v>1</v>
      </c>
      <c r="G37" s="9">
        <f>_xlfn.RANK.EQ(G36,$E$36:$L$36)</f>
        <v>7</v>
      </c>
      <c r="H37" s="9">
        <f>_xlfn.RANK.EQ(H36,$E$36:$L$36)</f>
        <v>4</v>
      </c>
      <c r="I37" s="9">
        <f>_xlfn.RANK.EQ(I36,$E$36:$L$36)</f>
        <v>8</v>
      </c>
      <c r="J37" s="9">
        <f>_xlfn.RANK.EQ(J36,$E$36:$L$36)</f>
        <v>3</v>
      </c>
      <c r="K37" s="9">
        <f>_xlfn.RANK.EQ(K36,$E$36:$L$36)</f>
        <v>5</v>
      </c>
      <c r="L37" s="10">
        <f>_xlfn.RANK.EQ(L36,$E$36:$L$36)</f>
        <v>2</v>
      </c>
      <c r="M37" s="15"/>
      <c r="N37" s="16"/>
    </row>
    <row r="39" spans="2:14" ht="18.75" x14ac:dyDescent="0.3">
      <c r="B39" s="33" t="s">
        <v>12</v>
      </c>
      <c r="C39" s="33"/>
      <c r="D39" s="33" t="s">
        <v>52</v>
      </c>
      <c r="E39" s="33"/>
      <c r="F39" s="33"/>
      <c r="K39" s="22" t="s">
        <v>14</v>
      </c>
      <c r="L39" s="22"/>
    </row>
  </sheetData>
  <mergeCells count="3">
    <mergeCell ref="B35:B37"/>
    <mergeCell ref="D2:N2"/>
    <mergeCell ref="D3:N3"/>
  </mergeCells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9"/>
  <sheetViews>
    <sheetView tabSelected="1" zoomScaleNormal="100" workbookViewId="0">
      <selection activeCell="Q8" sqref="Q8"/>
    </sheetView>
  </sheetViews>
  <sheetFormatPr defaultRowHeight="15" x14ac:dyDescent="0.25"/>
  <cols>
    <col min="3" max="3" width="35.140625" customWidth="1"/>
    <col min="5" max="12" width="10.7109375" customWidth="1"/>
    <col min="13" max="13" width="15.28515625" bestFit="1" customWidth="1"/>
    <col min="14" max="14" width="15.42578125" bestFit="1" customWidth="1"/>
  </cols>
  <sheetData>
    <row r="2" spans="2:14" ht="46.5" x14ac:dyDescent="0.7">
      <c r="D2" s="51" t="s">
        <v>10</v>
      </c>
      <c r="E2" s="51"/>
      <c r="F2" s="51"/>
      <c r="G2" s="51"/>
      <c r="H2" s="51"/>
      <c r="I2" s="51"/>
      <c r="J2" s="51"/>
      <c r="K2" s="51"/>
      <c r="L2" s="51"/>
    </row>
    <row r="3" spans="2:14" ht="15.75" x14ac:dyDescent="0.25">
      <c r="D3" s="52" t="s">
        <v>11</v>
      </c>
      <c r="E3" s="52"/>
      <c r="F3" s="52"/>
      <c r="G3" s="52"/>
      <c r="H3" s="52"/>
      <c r="I3" s="52"/>
      <c r="J3" s="52"/>
      <c r="K3" s="52"/>
      <c r="L3" s="52"/>
    </row>
    <row r="4" spans="2:14" ht="15.75" x14ac:dyDescent="0.25">
      <c r="C4" s="29"/>
      <c r="D4" s="29" t="s">
        <v>51</v>
      </c>
      <c r="F4" s="29"/>
      <c r="G4" s="29"/>
      <c r="H4" s="29"/>
      <c r="I4" s="29"/>
      <c r="J4" s="29"/>
      <c r="K4" s="29" t="s">
        <v>13</v>
      </c>
      <c r="L4" s="29"/>
    </row>
    <row r="5" spans="2:14" ht="16.5" thickBot="1" x14ac:dyDescent="0.3">
      <c r="L5" s="29"/>
    </row>
    <row r="6" spans="2:14" ht="24" customHeight="1" thickBot="1" x14ac:dyDescent="0.3">
      <c r="B6" s="28" t="str">
        <f>MARKS!B6</f>
        <v>#</v>
      </c>
      <c r="C6" s="28" t="str">
        <f>MARKS!C6</f>
        <v>STUDENT NAME</v>
      </c>
      <c r="D6" s="28" t="str">
        <f>MARKS!D6</f>
        <v>GENDER</v>
      </c>
      <c r="E6" s="28" t="str">
        <f>MARKS!E6</f>
        <v>ENG</v>
      </c>
      <c r="F6" s="28" t="str">
        <f>MARKS!F6</f>
        <v>KIS</v>
      </c>
      <c r="G6" s="28" t="str">
        <f>MARKS!G6</f>
        <v>MATHS</v>
      </c>
      <c r="H6" s="28" t="str">
        <f>MARKS!H6</f>
        <v>SCIE</v>
      </c>
      <c r="I6" s="28" t="str">
        <f>MARKS!I6</f>
        <v>AGRI</v>
      </c>
      <c r="J6" s="28" t="str">
        <f>MARKS!J6</f>
        <v>SST</v>
      </c>
      <c r="K6" s="28" t="str">
        <f>MARKS!K6</f>
        <v>CAS</v>
      </c>
      <c r="L6" s="28" t="str">
        <f>MARKS!L6</f>
        <v>IRE</v>
      </c>
      <c r="M6" s="40" t="s">
        <v>49</v>
      </c>
      <c r="N6" s="40" t="s">
        <v>7</v>
      </c>
    </row>
    <row r="7" spans="2:14" ht="24" customHeight="1" thickBot="1" x14ac:dyDescent="0.3">
      <c r="B7" s="23">
        <f>MARKS!B7</f>
        <v>1</v>
      </c>
      <c r="C7" s="34" t="str">
        <f>MARKS!C7</f>
        <v>Anisa Adan</v>
      </c>
      <c r="D7" s="23" t="str">
        <f>MARKS!D7</f>
        <v>F</v>
      </c>
      <c r="E7" s="3">
        <f>IF(NOT(ISBLANK(MARKS!E7)),IF(MARKS!E7&gt;=75,4,IF(MARKS!E7&gt;=50,3,IF(MARKS!E7&gt;=25,2,1))),"")</f>
        <v>4</v>
      </c>
      <c r="F7" s="3">
        <f>IF(NOT(ISBLANK(MARKS!F7)),IF(MARKS!F7&gt;=75,4,IF(MARKS!F7&gt;=50,3,IF(MARKS!F7&gt;=25,2,1))),"")</f>
        <v>4</v>
      </c>
      <c r="G7" s="3">
        <f>IF(NOT(ISBLANK(MARKS!G7)),IF(MARKS!G7&gt;=75,4,IF(MARKS!G7&gt;=50,3,IF(MARKS!G7&gt;=25,2,1))),"")</f>
        <v>4</v>
      </c>
      <c r="H7" s="3">
        <f>IF(NOT(ISBLANK(MARKS!H7)),IF(MARKS!H7&gt;=75,4,IF(MARKS!H7&gt;=50,3,IF(MARKS!H7&gt;=25,2,1))),"")</f>
        <v>3</v>
      </c>
      <c r="I7" s="3">
        <f>IF(NOT(ISBLANK(MARKS!I7)),IF(MARKS!I7&gt;=75,4,IF(MARKS!I7&gt;=50,3,IF(MARKS!I7&gt;=25,2,1))),"")</f>
        <v>3</v>
      </c>
      <c r="J7" s="3">
        <f>IF(NOT(ISBLANK(MARKS!J7)),IF(MARKS!J7&gt;=75,4,IF(MARKS!J7&gt;=50,3,IF(MARKS!J7&gt;=25,2,1))),"")</f>
        <v>4</v>
      </c>
      <c r="K7" s="3">
        <f>IF(NOT(ISBLANK(MARKS!K7)),IF(MARKS!K7&gt;=75,4,IF(MARKS!K7&gt;=50,3,IF(MARKS!K7&gt;=25,2,1))),"")</f>
        <v>4</v>
      </c>
      <c r="L7" s="3">
        <f>IF(NOT(ISBLANK(MARKS!L7)),IF(MARKS!L7&gt;=75,4,IF(MARKS!L7&gt;=50,3,IF(MARKS!L7&gt;=25,2,1))),"")</f>
        <v>4</v>
      </c>
      <c r="M7" s="31">
        <f t="shared" ref="M7:M34" si="0">SUM(E7:L7)</f>
        <v>30</v>
      </c>
      <c r="N7" s="7">
        <f t="shared" ref="N7:N34" si="1">_xlfn.RANK.EQ(M7,$M$7:$M$34)</f>
        <v>1</v>
      </c>
    </row>
    <row r="8" spans="2:14" ht="24" customHeight="1" thickBot="1" x14ac:dyDescent="0.3">
      <c r="B8" s="23">
        <f>MARKS!B8</f>
        <v>2</v>
      </c>
      <c r="C8" s="34" t="str">
        <f>MARKS!C8</f>
        <v>Zainab Ali</v>
      </c>
      <c r="D8" s="23" t="str">
        <f>MARKS!D8</f>
        <v>F</v>
      </c>
      <c r="E8" s="3">
        <f>IF(NOT(ISBLANK(MARKS!E8)),IF(MARKS!E8&gt;=75,4,IF(MARKS!E8&gt;=50,3,IF(MARKS!E8&gt;=25,2,1))),"")</f>
        <v>4</v>
      </c>
      <c r="F8" s="3">
        <f>IF(NOT(ISBLANK(MARKS!F8)),IF(MARKS!F8&gt;=75,4,IF(MARKS!F8&gt;=50,3,IF(MARKS!F8&gt;=25,2,1))),"")</f>
        <v>3</v>
      </c>
      <c r="G8" s="3">
        <f>IF(NOT(ISBLANK(MARKS!G8)),IF(MARKS!G8&gt;=75,4,IF(MARKS!G8&gt;=50,3,IF(MARKS!G8&gt;=25,2,1))),"")</f>
        <v>4</v>
      </c>
      <c r="H8" s="3">
        <f>IF(NOT(ISBLANK(MARKS!H8)),IF(MARKS!H8&gt;=75,4,IF(MARKS!H8&gt;=50,3,IF(MARKS!H8&gt;=25,2,1))),"")</f>
        <v>3</v>
      </c>
      <c r="I8" s="3">
        <f>IF(NOT(ISBLANK(MARKS!I8)),IF(MARKS!I8&gt;=75,4,IF(MARKS!I8&gt;=50,3,IF(MARKS!I8&gt;=25,2,1))),"")</f>
        <v>3</v>
      </c>
      <c r="J8" s="3">
        <f>IF(NOT(ISBLANK(MARKS!J8)),IF(MARKS!J8&gt;=75,4,IF(MARKS!J8&gt;=50,3,IF(MARKS!J8&gt;=25,2,1))),"")</f>
        <v>4</v>
      </c>
      <c r="K8" s="3">
        <f>IF(NOT(ISBLANK(MARKS!K8)),IF(MARKS!K8&gt;=75,4,IF(MARKS!K8&gt;=50,3,IF(MARKS!K8&gt;=25,2,1))),"")</f>
        <v>4</v>
      </c>
      <c r="L8" s="3">
        <f>IF(NOT(ISBLANK(MARKS!L8)),IF(MARKS!L8&gt;=75,4,IF(MARKS!L8&gt;=50,3,IF(MARKS!L8&gt;=25,2,1))),"")</f>
        <v>4</v>
      </c>
      <c r="M8" s="32">
        <f t="shared" si="0"/>
        <v>29</v>
      </c>
      <c r="N8" s="7">
        <f t="shared" si="1"/>
        <v>2</v>
      </c>
    </row>
    <row r="9" spans="2:14" ht="24" customHeight="1" thickBot="1" x14ac:dyDescent="0.3">
      <c r="B9" s="23">
        <f>MARKS!B9</f>
        <v>3</v>
      </c>
      <c r="C9" s="34" t="str">
        <f>MARKS!C10</f>
        <v>Sharmake Mohammed</v>
      </c>
      <c r="D9" s="23" t="str">
        <f>MARKS!D10</f>
        <v>M</v>
      </c>
      <c r="E9" s="3">
        <f>IF(NOT(ISBLANK(MARKS!E9)),IF(MARKS!E9&gt;=75,4,IF(MARKS!E9&gt;=50,3,IF(MARKS!E9&gt;=25,2,1))),"")</f>
        <v>3</v>
      </c>
      <c r="F9" s="3">
        <f>IF(NOT(ISBLANK(MARKS!F9)),IF(MARKS!F9&gt;=75,4,IF(MARKS!F9&gt;=50,3,IF(MARKS!F9&gt;=25,2,1))),"")</f>
        <v>3</v>
      </c>
      <c r="G9" s="3">
        <f>IF(NOT(ISBLANK(MARKS!G9)),IF(MARKS!G9&gt;=75,4,IF(MARKS!G9&gt;=50,3,IF(MARKS!G9&gt;=25,2,1))),"")</f>
        <v>3</v>
      </c>
      <c r="H9" s="3">
        <f>IF(NOT(ISBLANK(MARKS!H9)),IF(MARKS!H9&gt;=75,4,IF(MARKS!H9&gt;=50,3,IF(MARKS!H9&gt;=25,2,1))),"")</f>
        <v>4</v>
      </c>
      <c r="I9" s="3">
        <f>IF(NOT(ISBLANK(MARKS!I9)),IF(MARKS!I9&gt;=75,4,IF(MARKS!I9&gt;=50,3,IF(MARKS!I9&gt;=25,2,1))),"")</f>
        <v>3</v>
      </c>
      <c r="J9" s="3">
        <f>IF(NOT(ISBLANK(MARKS!J9)),IF(MARKS!J9&gt;=75,4,IF(MARKS!J9&gt;=50,3,IF(MARKS!J9&gt;=25,2,1))),"")</f>
        <v>4</v>
      </c>
      <c r="K9" s="3">
        <f>IF(NOT(ISBLANK(MARKS!K9)),IF(MARKS!K9&gt;=75,4,IF(MARKS!K9&gt;=50,3,IF(MARKS!K9&gt;=25,2,1))),"")</f>
        <v>4</v>
      </c>
      <c r="L9" s="3">
        <f>IF(NOT(ISBLANK(MARKS!L9)),IF(MARKS!L9&gt;=75,4,IF(MARKS!L9&gt;=50,3,IF(MARKS!L9&gt;=25,2,1))),"")</f>
        <v>4</v>
      </c>
      <c r="M9" s="32">
        <f t="shared" si="0"/>
        <v>28</v>
      </c>
      <c r="N9" s="7">
        <f t="shared" si="1"/>
        <v>3</v>
      </c>
    </row>
    <row r="10" spans="2:14" ht="24" customHeight="1" thickBot="1" x14ac:dyDescent="0.3">
      <c r="B10" s="23">
        <f>MARKS!B10</f>
        <v>4</v>
      </c>
      <c r="C10" s="34" t="str">
        <f>MARKS!C9</f>
        <v>Ibrahim Abdi</v>
      </c>
      <c r="D10" s="23" t="str">
        <f>MARKS!D9</f>
        <v>M</v>
      </c>
      <c r="E10" s="3">
        <f>IF(NOT(ISBLANK(MARKS!E10)),IF(MARKS!E10&gt;=75,4,IF(MARKS!E10&gt;=50,3,IF(MARKS!E10&gt;=25,2,1))),"")</f>
        <v>4</v>
      </c>
      <c r="F10" s="3">
        <f>IF(NOT(ISBLANK(MARKS!F10)),IF(MARKS!F10&gt;=75,4,IF(MARKS!F10&gt;=50,3,IF(MARKS!F10&gt;=25,2,1))),"")</f>
        <v>3</v>
      </c>
      <c r="G10" s="3">
        <f>IF(NOT(ISBLANK(MARKS!G10)),IF(MARKS!G10&gt;=75,4,IF(MARKS!G10&gt;=50,3,IF(MARKS!G10&gt;=25,2,1))),"")</f>
        <v>3</v>
      </c>
      <c r="H10" s="3">
        <f>IF(NOT(ISBLANK(MARKS!H10)),IF(MARKS!H10&gt;=75,4,IF(MARKS!H10&gt;=50,3,IF(MARKS!H10&gt;=25,2,1))),"")</f>
        <v>4</v>
      </c>
      <c r="I10" s="3">
        <f>IF(NOT(ISBLANK(MARKS!I10)),IF(MARKS!I10&gt;=75,4,IF(MARKS!I10&gt;=50,3,IF(MARKS!I10&gt;=25,2,1))),"")</f>
        <v>3</v>
      </c>
      <c r="J10" s="3">
        <f>IF(NOT(ISBLANK(MARKS!J10)),IF(MARKS!J10&gt;=75,4,IF(MARKS!J10&gt;=50,3,IF(MARKS!J10&gt;=25,2,1))),"")</f>
        <v>3</v>
      </c>
      <c r="K10" s="3">
        <f>IF(NOT(ISBLANK(MARKS!K10)),IF(MARKS!K10&gt;=75,4,IF(MARKS!K10&gt;=50,3,IF(MARKS!K10&gt;=25,2,1))),"")</f>
        <v>4</v>
      </c>
      <c r="L10" s="3">
        <f>IF(NOT(ISBLANK(MARKS!L10)),IF(MARKS!L10&gt;=75,4,IF(MARKS!L10&gt;=50,3,IF(MARKS!L10&gt;=25,2,1))),"")</f>
        <v>4</v>
      </c>
      <c r="M10" s="32">
        <f t="shared" si="0"/>
        <v>28</v>
      </c>
      <c r="N10" s="7">
        <f t="shared" si="1"/>
        <v>3</v>
      </c>
    </row>
    <row r="11" spans="2:14" ht="24" customHeight="1" thickBot="1" x14ac:dyDescent="0.3">
      <c r="B11" s="23">
        <f>MARKS!B11</f>
        <v>5</v>
      </c>
      <c r="C11" s="34" t="str">
        <f>MARKS!C11</f>
        <v>Ramadhan Ali</v>
      </c>
      <c r="D11" s="23" t="str">
        <f>MARKS!D11</f>
        <v>M</v>
      </c>
      <c r="E11" s="3">
        <f>IF(NOT(ISBLANK(MARKS!E11)),IF(MARKS!E11&gt;=75,4,IF(MARKS!E11&gt;=50,3,IF(MARKS!E11&gt;=25,2,1))),"")</f>
        <v>3</v>
      </c>
      <c r="F11" s="3">
        <f>IF(NOT(ISBLANK(MARKS!F11)),IF(MARKS!F11&gt;=75,4,IF(MARKS!F11&gt;=50,3,IF(MARKS!F11&gt;=25,2,1))),"")</f>
        <v>4</v>
      </c>
      <c r="G11" s="3">
        <f>IF(NOT(ISBLANK(MARKS!G11)),IF(MARKS!G11&gt;=75,4,IF(MARKS!G11&gt;=50,3,IF(MARKS!G11&gt;=25,2,1))),"")</f>
        <v>3</v>
      </c>
      <c r="H11" s="3">
        <f>IF(NOT(ISBLANK(MARKS!H11)),IF(MARKS!H11&gt;=75,4,IF(MARKS!H11&gt;=50,3,IF(MARKS!H11&gt;=25,2,1))),"")</f>
        <v>3</v>
      </c>
      <c r="I11" s="3">
        <f>IF(NOT(ISBLANK(MARKS!I11)),IF(MARKS!I11&gt;=75,4,IF(MARKS!I11&gt;=50,3,IF(MARKS!I11&gt;=25,2,1))),"")</f>
        <v>3</v>
      </c>
      <c r="J11" s="3">
        <f>IF(NOT(ISBLANK(MARKS!J11)),IF(MARKS!J11&gt;=75,4,IF(MARKS!J11&gt;=50,3,IF(MARKS!J11&gt;=25,2,1))),"")</f>
        <v>4</v>
      </c>
      <c r="K11" s="3">
        <f>IF(NOT(ISBLANK(MARKS!K11)),IF(MARKS!K11&gt;=75,4,IF(MARKS!K11&gt;=50,3,IF(MARKS!K11&gt;=25,2,1))),"")</f>
        <v>3</v>
      </c>
      <c r="L11" s="3">
        <f>IF(NOT(ISBLANK(MARKS!L11)),IF(MARKS!L11&gt;=75,4,IF(MARKS!L11&gt;=50,3,IF(MARKS!L11&gt;=25,2,1))),"")</f>
        <v>4</v>
      </c>
      <c r="M11" s="32">
        <f t="shared" si="0"/>
        <v>27</v>
      </c>
      <c r="N11" s="7">
        <f t="shared" si="1"/>
        <v>5</v>
      </c>
    </row>
    <row r="12" spans="2:14" ht="24" customHeight="1" thickBot="1" x14ac:dyDescent="0.3">
      <c r="B12" s="23">
        <f>MARKS!B12</f>
        <v>6</v>
      </c>
      <c r="C12" s="34" t="str">
        <f>MARKS!C15</f>
        <v>Hafsa Ibrahim</v>
      </c>
      <c r="D12" s="23" t="str">
        <f>MARKS!D15</f>
        <v>F</v>
      </c>
      <c r="E12" s="3">
        <f>IF(NOT(ISBLANK(MARKS!E12)),IF(MARKS!E12&gt;=75,4,IF(MARKS!E12&gt;=50,3,IF(MARKS!E12&gt;=25,2,1))),"")</f>
        <v>3</v>
      </c>
      <c r="F12" s="3">
        <f>IF(NOT(ISBLANK(MARKS!F12)),IF(MARKS!F12&gt;=75,4,IF(MARKS!F12&gt;=50,3,IF(MARKS!F12&gt;=25,2,1))),"")</f>
        <v>3</v>
      </c>
      <c r="G12" s="3">
        <f>IF(NOT(ISBLANK(MARKS!G12)),IF(MARKS!G12&gt;=75,4,IF(MARKS!G12&gt;=50,3,IF(MARKS!G12&gt;=25,2,1))),"")</f>
        <v>4</v>
      </c>
      <c r="H12" s="3">
        <f>IF(NOT(ISBLANK(MARKS!H12)),IF(MARKS!H12&gt;=75,4,IF(MARKS!H12&gt;=50,3,IF(MARKS!H12&gt;=25,2,1))),"")</f>
        <v>3</v>
      </c>
      <c r="I12" s="3">
        <f>IF(NOT(ISBLANK(MARKS!I12)),IF(MARKS!I12&gt;=75,4,IF(MARKS!I12&gt;=50,3,IF(MARKS!I12&gt;=25,2,1))),"")</f>
        <v>3</v>
      </c>
      <c r="J12" s="3">
        <f>IF(NOT(ISBLANK(MARKS!J12)),IF(MARKS!J12&gt;=75,4,IF(MARKS!J12&gt;=50,3,IF(MARKS!J12&gt;=25,2,1))),"")</f>
        <v>4</v>
      </c>
      <c r="K12" s="3">
        <f>IF(NOT(ISBLANK(MARKS!K12)),IF(MARKS!K12&gt;=75,4,IF(MARKS!K12&gt;=50,3,IF(MARKS!K12&gt;=25,2,1))),"")</f>
        <v>3</v>
      </c>
      <c r="L12" s="3">
        <f>IF(NOT(ISBLANK(MARKS!L12)),IF(MARKS!L12&gt;=75,4,IF(MARKS!L12&gt;=50,3,IF(MARKS!L12&gt;=25,2,1))),"")</f>
        <v>4</v>
      </c>
      <c r="M12" s="32">
        <f t="shared" si="0"/>
        <v>27</v>
      </c>
      <c r="N12" s="7">
        <f t="shared" si="1"/>
        <v>5</v>
      </c>
    </row>
    <row r="13" spans="2:14" ht="24" customHeight="1" thickBot="1" x14ac:dyDescent="0.3">
      <c r="B13" s="23">
        <f>MARKS!B13</f>
        <v>7</v>
      </c>
      <c r="C13" s="34" t="str">
        <f>MARKS!C12</f>
        <v>Hamdi Hassan</v>
      </c>
      <c r="D13" s="23" t="str">
        <f>MARKS!D12</f>
        <v>M</v>
      </c>
      <c r="E13" s="3">
        <f>IF(NOT(ISBLANK(MARKS!E13)),IF(MARKS!E13&gt;=75,4,IF(MARKS!E13&gt;=50,3,IF(MARKS!E13&gt;=25,2,1))),"")</f>
        <v>3</v>
      </c>
      <c r="F13" s="3">
        <f>IF(NOT(ISBLANK(MARKS!F13)),IF(MARKS!F13&gt;=75,4,IF(MARKS!F13&gt;=50,3,IF(MARKS!F13&gt;=25,2,1))),"")</f>
        <v>3</v>
      </c>
      <c r="G13" s="3">
        <f>IF(NOT(ISBLANK(MARKS!G13)),IF(MARKS!G13&gt;=75,4,IF(MARKS!G13&gt;=50,3,IF(MARKS!G13&gt;=25,2,1))),"")</f>
        <v>3</v>
      </c>
      <c r="H13" s="3">
        <f>IF(NOT(ISBLANK(MARKS!H13)),IF(MARKS!H13&gt;=75,4,IF(MARKS!H13&gt;=50,3,IF(MARKS!H13&gt;=25,2,1))),"")</f>
        <v>3</v>
      </c>
      <c r="I13" s="3">
        <f>IF(NOT(ISBLANK(MARKS!I13)),IF(MARKS!I13&gt;=75,4,IF(MARKS!I13&gt;=50,3,IF(MARKS!I13&gt;=25,2,1))),"")</f>
        <v>3</v>
      </c>
      <c r="J13" s="3">
        <f>IF(NOT(ISBLANK(MARKS!J13)),IF(MARKS!J13&gt;=75,4,IF(MARKS!J13&gt;=50,3,IF(MARKS!J13&gt;=25,2,1))),"")</f>
        <v>3</v>
      </c>
      <c r="K13" s="3">
        <f>IF(NOT(ISBLANK(MARKS!K13)),IF(MARKS!K13&gt;=75,4,IF(MARKS!K13&gt;=50,3,IF(MARKS!K13&gt;=25,2,1))),"")</f>
        <v>4</v>
      </c>
      <c r="L13" s="3">
        <f>IF(NOT(ISBLANK(MARKS!L13)),IF(MARKS!L13&gt;=75,4,IF(MARKS!L13&gt;=50,3,IF(MARKS!L13&gt;=25,2,1))),"")</f>
        <v>4</v>
      </c>
      <c r="M13" s="32">
        <f t="shared" si="0"/>
        <v>26</v>
      </c>
      <c r="N13" s="7">
        <f t="shared" si="1"/>
        <v>8</v>
      </c>
    </row>
    <row r="14" spans="2:14" ht="24" customHeight="1" thickBot="1" x14ac:dyDescent="0.3">
      <c r="B14" s="23">
        <f>MARKS!B14</f>
        <v>8</v>
      </c>
      <c r="C14" s="34" t="str">
        <f>MARKS!C13</f>
        <v>Sabrina Abdurahman</v>
      </c>
      <c r="D14" s="23" t="str">
        <f>MARKS!D13</f>
        <v>F</v>
      </c>
      <c r="E14" s="3">
        <f>IF(NOT(ISBLANK(MARKS!E14)),IF(MARKS!E14&gt;=75,4,IF(MARKS!E14&gt;=50,3,IF(MARKS!E14&gt;=25,2,1))),"")</f>
        <v>3</v>
      </c>
      <c r="F14" s="3">
        <f>IF(NOT(ISBLANK(MARKS!F14)),IF(MARKS!F14&gt;=75,4,IF(MARKS!F14&gt;=50,3,IF(MARKS!F14&gt;=25,2,1))),"")</f>
        <v>3</v>
      </c>
      <c r="G14" s="3">
        <f>IF(NOT(ISBLANK(MARKS!G14)),IF(MARKS!G14&gt;=75,4,IF(MARKS!G14&gt;=50,3,IF(MARKS!G14&gt;=25,2,1))),"")</f>
        <v>3</v>
      </c>
      <c r="H14" s="3">
        <f>IF(NOT(ISBLANK(MARKS!H14)),IF(MARKS!H14&gt;=75,4,IF(MARKS!H14&gt;=50,3,IF(MARKS!H14&gt;=25,2,1))),"")</f>
        <v>3</v>
      </c>
      <c r="I14" s="3">
        <f>IF(NOT(ISBLANK(MARKS!I14)),IF(MARKS!I14&gt;=75,4,IF(MARKS!I14&gt;=50,3,IF(MARKS!I14&gt;=25,2,1))),"")</f>
        <v>3</v>
      </c>
      <c r="J14" s="3">
        <f>IF(NOT(ISBLANK(MARKS!J14)),IF(MARKS!J14&gt;=75,4,IF(MARKS!J14&gt;=50,3,IF(MARKS!J14&gt;=25,2,1))),"")</f>
        <v>4</v>
      </c>
      <c r="K14" s="3">
        <f>IF(NOT(ISBLANK(MARKS!K14)),IF(MARKS!K14&gt;=75,4,IF(MARKS!K14&gt;=50,3,IF(MARKS!K14&gt;=25,2,1))),"")</f>
        <v>4</v>
      </c>
      <c r="L14" s="3">
        <f>IF(NOT(ISBLANK(MARKS!L14)),IF(MARKS!L14&gt;=75,4,IF(MARKS!L14&gt;=50,3,IF(MARKS!L14&gt;=25,2,1))),"")</f>
        <v>4</v>
      </c>
      <c r="M14" s="32">
        <f t="shared" si="0"/>
        <v>27</v>
      </c>
      <c r="N14" s="7">
        <f t="shared" si="1"/>
        <v>5</v>
      </c>
    </row>
    <row r="15" spans="2:14" ht="24" customHeight="1" thickBot="1" x14ac:dyDescent="0.3">
      <c r="B15" s="23">
        <f>MARKS!B15</f>
        <v>9</v>
      </c>
      <c r="C15" s="34" t="str">
        <f>MARKS!C14</f>
        <v>Najma Yusuf</v>
      </c>
      <c r="D15" s="23" t="str">
        <f>MARKS!D14</f>
        <v>F</v>
      </c>
      <c r="E15" s="3">
        <f>IF(NOT(ISBLANK(MARKS!E15)),IF(MARKS!E15&gt;=75,4,IF(MARKS!E15&gt;=50,3,IF(MARKS!E15&gt;=25,2,1))),"")</f>
        <v>3</v>
      </c>
      <c r="F15" s="3">
        <f>IF(NOT(ISBLANK(MARKS!F15)),IF(MARKS!F15&gt;=75,4,IF(MARKS!F15&gt;=50,3,IF(MARKS!F15&gt;=25,2,1))),"")</f>
        <v>3</v>
      </c>
      <c r="G15" s="3">
        <f>IF(NOT(ISBLANK(MARKS!G15)),IF(MARKS!G15&gt;=75,4,IF(MARKS!G15&gt;=50,3,IF(MARKS!G15&gt;=25,2,1))),"")</f>
        <v>3</v>
      </c>
      <c r="H15" s="3">
        <f>IF(NOT(ISBLANK(MARKS!H15)),IF(MARKS!H15&gt;=75,4,IF(MARKS!H15&gt;=50,3,IF(MARKS!H15&gt;=25,2,1))),"")</f>
        <v>3</v>
      </c>
      <c r="I15" s="3">
        <f>IF(NOT(ISBLANK(MARKS!I15)),IF(MARKS!I15&gt;=75,4,IF(MARKS!I15&gt;=50,3,IF(MARKS!I15&gt;=25,2,1))),"")</f>
        <v>3</v>
      </c>
      <c r="J15" s="3">
        <f>IF(NOT(ISBLANK(MARKS!J15)),IF(MARKS!J15&gt;=75,4,IF(MARKS!J15&gt;=50,3,IF(MARKS!J15&gt;=25,2,1))),"")</f>
        <v>3</v>
      </c>
      <c r="K15" s="3">
        <f>IF(NOT(ISBLANK(MARKS!K15)),IF(MARKS!K15&gt;=75,4,IF(MARKS!K15&gt;=50,3,IF(MARKS!K15&gt;=25,2,1))),"")</f>
        <v>3</v>
      </c>
      <c r="L15" s="3">
        <f>IF(NOT(ISBLANK(MARKS!L15)),IF(MARKS!L15&gt;=75,4,IF(MARKS!L15&gt;=50,3,IF(MARKS!L15&gt;=25,2,1))),"")</f>
        <v>4</v>
      </c>
      <c r="M15" s="32">
        <f t="shared" si="0"/>
        <v>25</v>
      </c>
      <c r="N15" s="7">
        <f t="shared" si="1"/>
        <v>11</v>
      </c>
    </row>
    <row r="16" spans="2:14" ht="24" customHeight="1" thickBot="1" x14ac:dyDescent="0.3">
      <c r="B16" s="23">
        <f>MARKS!B16</f>
        <v>10</v>
      </c>
      <c r="C16" s="34" t="str">
        <f>MARKS!C16</f>
        <v>Hafsa Haret</v>
      </c>
      <c r="D16" s="23" t="str">
        <f>MARKS!D16</f>
        <v>F</v>
      </c>
      <c r="E16" s="3">
        <f>IF(NOT(ISBLANK(MARKS!E16)),IF(MARKS!E16&gt;=75,4,IF(MARKS!E16&gt;=50,3,IF(MARKS!E16&gt;=25,2,1))),"")</f>
        <v>3</v>
      </c>
      <c r="F16" s="3">
        <f>IF(NOT(ISBLANK(MARKS!F16)),IF(MARKS!F16&gt;=75,4,IF(MARKS!F16&gt;=50,3,IF(MARKS!F16&gt;=25,2,1))),"")</f>
        <v>4</v>
      </c>
      <c r="G16" s="3">
        <f>IF(NOT(ISBLANK(MARKS!G16)),IF(MARKS!G16&gt;=75,4,IF(MARKS!G16&gt;=50,3,IF(MARKS!G16&gt;=25,2,1))),"")</f>
        <v>3</v>
      </c>
      <c r="H16" s="3">
        <f>IF(NOT(ISBLANK(MARKS!H16)),IF(MARKS!H16&gt;=75,4,IF(MARKS!H16&gt;=50,3,IF(MARKS!H16&gt;=25,2,1))),"")</f>
        <v>3</v>
      </c>
      <c r="I16" s="3">
        <f>IF(NOT(ISBLANK(MARKS!I16)),IF(MARKS!I16&gt;=75,4,IF(MARKS!I16&gt;=50,3,IF(MARKS!I16&gt;=25,2,1))),"")</f>
        <v>3</v>
      </c>
      <c r="J16" s="3">
        <f>IF(NOT(ISBLANK(MARKS!J16)),IF(MARKS!J16&gt;=75,4,IF(MARKS!J16&gt;=50,3,IF(MARKS!J16&gt;=25,2,1))),"")</f>
        <v>4</v>
      </c>
      <c r="K16" s="3">
        <f>IF(NOT(ISBLANK(MARKS!K16)),IF(MARKS!K16&gt;=75,4,IF(MARKS!K16&gt;=50,3,IF(MARKS!K16&gt;=25,2,1))),"")</f>
        <v>3</v>
      </c>
      <c r="L16" s="3">
        <f>IF(NOT(ISBLANK(MARKS!L16)),IF(MARKS!L16&gt;=75,4,IF(MARKS!L16&gt;=50,3,IF(MARKS!L16&gt;=25,2,1))),"")</f>
        <v>3</v>
      </c>
      <c r="M16" s="32">
        <f t="shared" si="0"/>
        <v>26</v>
      </c>
      <c r="N16" s="7">
        <f t="shared" si="1"/>
        <v>8</v>
      </c>
    </row>
    <row r="17" spans="2:14" ht="24" customHeight="1" thickBot="1" x14ac:dyDescent="0.3">
      <c r="B17" s="23">
        <f>MARKS!B17</f>
        <v>11</v>
      </c>
      <c r="C17" s="34" t="str">
        <f>MARKS!C17</f>
        <v>Mohammed Abdulaziz</v>
      </c>
      <c r="D17" s="23" t="str">
        <f>MARKS!D17</f>
        <v>M</v>
      </c>
      <c r="E17" s="3">
        <f>IF(NOT(ISBLANK(MARKS!E17)),IF(MARKS!E17&gt;=75,4,IF(MARKS!E17&gt;=50,3,IF(MARKS!E17&gt;=25,2,1))),"")</f>
        <v>3</v>
      </c>
      <c r="F17" s="3">
        <f>IF(NOT(ISBLANK(MARKS!F17)),IF(MARKS!F17&gt;=75,4,IF(MARKS!F17&gt;=50,3,IF(MARKS!F17&gt;=25,2,1))),"")</f>
        <v>4</v>
      </c>
      <c r="G17" s="3">
        <f>IF(NOT(ISBLANK(MARKS!G17)),IF(MARKS!G17&gt;=75,4,IF(MARKS!G17&gt;=50,3,IF(MARKS!G17&gt;=25,2,1))),"")</f>
        <v>3</v>
      </c>
      <c r="H17" s="3">
        <f>IF(NOT(ISBLANK(MARKS!H17)),IF(MARKS!H17&gt;=75,4,IF(MARKS!H17&gt;=50,3,IF(MARKS!H17&gt;=25,2,1))),"")</f>
        <v>3</v>
      </c>
      <c r="I17" s="3">
        <f>IF(NOT(ISBLANK(MARKS!I17)),IF(MARKS!I17&gt;=75,4,IF(MARKS!I17&gt;=50,3,IF(MARKS!I17&gt;=25,2,1))),"")</f>
        <v>2</v>
      </c>
      <c r="J17" s="3">
        <f>IF(NOT(ISBLANK(MARKS!J17)),IF(MARKS!J17&gt;=75,4,IF(MARKS!J17&gt;=50,3,IF(MARKS!J17&gt;=25,2,1))),"")</f>
        <v>4</v>
      </c>
      <c r="K17" s="3">
        <f>IF(NOT(ISBLANK(MARKS!K17)),IF(MARKS!K17&gt;=75,4,IF(MARKS!K17&gt;=50,3,IF(MARKS!K17&gt;=25,2,1))),"")</f>
        <v>3</v>
      </c>
      <c r="L17" s="3">
        <f>IF(NOT(ISBLANK(MARKS!L17)),IF(MARKS!L17&gt;=75,4,IF(MARKS!L17&gt;=50,3,IF(MARKS!L17&gt;=25,2,1))),"")</f>
        <v>3</v>
      </c>
      <c r="M17" s="32">
        <f t="shared" si="0"/>
        <v>25</v>
      </c>
      <c r="N17" s="7">
        <f t="shared" si="1"/>
        <v>11</v>
      </c>
    </row>
    <row r="18" spans="2:14" ht="24" customHeight="1" thickBot="1" x14ac:dyDescent="0.3">
      <c r="B18" s="23">
        <f>MARKS!B18</f>
        <v>12</v>
      </c>
      <c r="C18" s="34" t="str">
        <f>MARKS!C18</f>
        <v>Mohammed Hassan</v>
      </c>
      <c r="D18" s="23" t="str">
        <f>MARKS!D18</f>
        <v>M</v>
      </c>
      <c r="E18" s="3">
        <f>IF(NOT(ISBLANK(MARKS!E18)),IF(MARKS!E18&gt;=75,4,IF(MARKS!E18&gt;=50,3,IF(MARKS!E18&gt;=25,2,1))),"")</f>
        <v>3</v>
      </c>
      <c r="F18" s="3">
        <f>IF(NOT(ISBLANK(MARKS!F18)),IF(MARKS!F18&gt;=75,4,IF(MARKS!F18&gt;=50,3,IF(MARKS!F18&gt;=25,2,1))),"")</f>
        <v>4</v>
      </c>
      <c r="G18" s="3">
        <f>IF(NOT(ISBLANK(MARKS!G18)),IF(MARKS!G18&gt;=75,4,IF(MARKS!G18&gt;=50,3,IF(MARKS!G18&gt;=25,2,1))),"")</f>
        <v>3</v>
      </c>
      <c r="H18" s="3">
        <f>IF(NOT(ISBLANK(MARKS!H18)),IF(MARKS!H18&gt;=75,4,IF(MARKS!H18&gt;=50,3,IF(MARKS!H18&gt;=25,2,1))),"")</f>
        <v>3</v>
      </c>
      <c r="I18" s="3">
        <f>IF(NOT(ISBLANK(MARKS!I18)),IF(MARKS!I18&gt;=75,4,IF(MARKS!I18&gt;=50,3,IF(MARKS!I18&gt;=25,2,1))),"")</f>
        <v>3</v>
      </c>
      <c r="J18" s="3">
        <f>IF(NOT(ISBLANK(MARKS!J18)),IF(MARKS!J18&gt;=75,4,IF(MARKS!J18&gt;=50,3,IF(MARKS!J18&gt;=25,2,1))),"")</f>
        <v>3</v>
      </c>
      <c r="K18" s="3">
        <f>IF(NOT(ISBLANK(MARKS!K18)),IF(MARKS!K18&gt;=75,4,IF(MARKS!K18&gt;=50,3,IF(MARKS!K18&gt;=25,2,1))),"")</f>
        <v>3</v>
      </c>
      <c r="L18" s="3">
        <f>IF(NOT(ISBLANK(MARKS!L18)),IF(MARKS!L18&gt;=75,4,IF(MARKS!L18&gt;=50,3,IF(MARKS!L18&gt;=25,2,1))),"")</f>
        <v>4</v>
      </c>
      <c r="M18" s="32">
        <f t="shared" si="0"/>
        <v>26</v>
      </c>
      <c r="N18" s="7">
        <f t="shared" si="1"/>
        <v>8</v>
      </c>
    </row>
    <row r="19" spans="2:14" ht="24" customHeight="1" thickBot="1" x14ac:dyDescent="0.3">
      <c r="B19" s="23">
        <f>MARKS!B19</f>
        <v>13</v>
      </c>
      <c r="C19" s="34" t="str">
        <f>MARKS!C19</f>
        <v>Ummulkulthum Ibrahim</v>
      </c>
      <c r="D19" s="23" t="str">
        <f>MARKS!D19</f>
        <v>F</v>
      </c>
      <c r="E19" s="3">
        <f>IF(NOT(ISBLANK(MARKS!E19)),IF(MARKS!E19&gt;=75,4,IF(MARKS!E19&gt;=50,3,IF(MARKS!E19&gt;=25,2,1))),"")</f>
        <v>3</v>
      </c>
      <c r="F19" s="3">
        <f>IF(NOT(ISBLANK(MARKS!F19)),IF(MARKS!F19&gt;=75,4,IF(MARKS!F19&gt;=50,3,IF(MARKS!F19&gt;=25,2,1))),"")</f>
        <v>3</v>
      </c>
      <c r="G19" s="3">
        <f>IF(NOT(ISBLANK(MARKS!G19)),IF(MARKS!G19&gt;=75,4,IF(MARKS!G19&gt;=50,3,IF(MARKS!G19&gt;=25,2,1))),"")</f>
        <v>2</v>
      </c>
      <c r="H19" s="3">
        <f>IF(NOT(ISBLANK(MARKS!H19)),IF(MARKS!H19&gt;=75,4,IF(MARKS!H19&gt;=50,3,IF(MARKS!H19&gt;=25,2,1))),"")</f>
        <v>3</v>
      </c>
      <c r="I19" s="3">
        <f>IF(NOT(ISBLANK(MARKS!I19)),IF(MARKS!I19&gt;=75,4,IF(MARKS!I19&gt;=50,3,IF(MARKS!I19&gt;=25,2,1))),"")</f>
        <v>3</v>
      </c>
      <c r="J19" s="3">
        <f>IF(NOT(ISBLANK(MARKS!J19)),IF(MARKS!J19&gt;=75,4,IF(MARKS!J19&gt;=50,3,IF(MARKS!J19&gt;=25,2,1))),"")</f>
        <v>3</v>
      </c>
      <c r="K19" s="3">
        <f>IF(NOT(ISBLANK(MARKS!K19)),IF(MARKS!K19&gt;=75,4,IF(MARKS!K19&gt;=50,3,IF(MARKS!K19&gt;=25,2,1))),"")</f>
        <v>3</v>
      </c>
      <c r="L19" s="3">
        <f>IF(NOT(ISBLANK(MARKS!L19)),IF(MARKS!L19&gt;=75,4,IF(MARKS!L19&gt;=50,3,IF(MARKS!L19&gt;=25,2,1))),"")</f>
        <v>3</v>
      </c>
      <c r="M19" s="32">
        <f t="shared" si="0"/>
        <v>23</v>
      </c>
      <c r="N19" s="7">
        <f t="shared" si="1"/>
        <v>16</v>
      </c>
    </row>
    <row r="20" spans="2:14" ht="24" customHeight="1" thickBot="1" x14ac:dyDescent="0.3">
      <c r="B20" s="23">
        <f>MARKS!B20</f>
        <v>14</v>
      </c>
      <c r="C20" s="34" t="str">
        <f>MARKS!C20</f>
        <v>Fatma Shariff</v>
      </c>
      <c r="D20" s="23" t="str">
        <f>MARKS!D20</f>
        <v>F</v>
      </c>
      <c r="E20" s="3">
        <f>IF(NOT(ISBLANK(MARKS!E20)),IF(MARKS!E20&gt;=75,4,IF(MARKS!E20&gt;=50,3,IF(MARKS!E20&gt;=25,2,1))),"")</f>
        <v>3</v>
      </c>
      <c r="F20" s="3">
        <f>IF(NOT(ISBLANK(MARKS!F20)),IF(MARKS!F20&gt;=75,4,IF(MARKS!F20&gt;=50,3,IF(MARKS!F20&gt;=25,2,1))),"")</f>
        <v>3</v>
      </c>
      <c r="G20" s="3">
        <f>IF(NOT(ISBLANK(MARKS!G20)),IF(MARKS!G20&gt;=75,4,IF(MARKS!G20&gt;=50,3,IF(MARKS!G20&gt;=25,2,1))),"")</f>
        <v>3</v>
      </c>
      <c r="H20" s="3">
        <f>IF(NOT(ISBLANK(MARKS!H20)),IF(MARKS!H20&gt;=75,4,IF(MARKS!H20&gt;=50,3,IF(MARKS!H20&gt;=25,2,1))),"")</f>
        <v>3</v>
      </c>
      <c r="I20" s="3">
        <f>IF(NOT(ISBLANK(MARKS!I20)),IF(MARKS!I20&gt;=75,4,IF(MARKS!I20&gt;=50,3,IF(MARKS!I20&gt;=25,2,1))),"")</f>
        <v>3</v>
      </c>
      <c r="J20" s="3">
        <f>IF(NOT(ISBLANK(MARKS!J20)),IF(MARKS!J20&gt;=75,4,IF(MARKS!J20&gt;=50,3,IF(MARKS!J20&gt;=25,2,1))),"")</f>
        <v>3</v>
      </c>
      <c r="K20" s="3">
        <f>IF(NOT(ISBLANK(MARKS!K20)),IF(MARKS!K20&gt;=75,4,IF(MARKS!K20&gt;=50,3,IF(MARKS!K20&gt;=25,2,1))),"")</f>
        <v>3</v>
      </c>
      <c r="L20" s="3">
        <f>IF(NOT(ISBLANK(MARKS!L20)),IF(MARKS!L20&gt;=75,4,IF(MARKS!L20&gt;=50,3,IF(MARKS!L20&gt;=25,2,1))),"")</f>
        <v>3</v>
      </c>
      <c r="M20" s="32">
        <f t="shared" si="0"/>
        <v>24</v>
      </c>
      <c r="N20" s="7">
        <f t="shared" si="1"/>
        <v>13</v>
      </c>
    </row>
    <row r="21" spans="2:14" ht="24" customHeight="1" thickBot="1" x14ac:dyDescent="0.3">
      <c r="B21" s="23">
        <f>MARKS!B21</f>
        <v>15</v>
      </c>
      <c r="C21" s="34" t="str">
        <f>MARKS!C22</f>
        <v>Maryam Yusuf</v>
      </c>
      <c r="D21" s="23" t="str">
        <f>MARKS!D22</f>
        <v>M</v>
      </c>
      <c r="E21" s="3">
        <f>IF(NOT(ISBLANK(MARKS!E21)),IF(MARKS!E21&gt;=75,4,IF(MARKS!E21&gt;=50,3,IF(MARKS!E21&gt;=25,2,1))),"")</f>
        <v>3</v>
      </c>
      <c r="F21" s="3">
        <f>IF(NOT(ISBLANK(MARKS!F21)),IF(MARKS!F21&gt;=75,4,IF(MARKS!F21&gt;=50,3,IF(MARKS!F21&gt;=25,2,1))),"")</f>
        <v>3</v>
      </c>
      <c r="G21" s="3">
        <f>IF(NOT(ISBLANK(MARKS!G21)),IF(MARKS!G21&gt;=75,4,IF(MARKS!G21&gt;=50,3,IF(MARKS!G21&gt;=25,2,1))),"")</f>
        <v>2</v>
      </c>
      <c r="H21" s="3">
        <f>IF(NOT(ISBLANK(MARKS!H21)),IF(MARKS!H21&gt;=75,4,IF(MARKS!H21&gt;=50,3,IF(MARKS!H21&gt;=25,2,1))),"")</f>
        <v>3</v>
      </c>
      <c r="I21" s="3">
        <f>IF(NOT(ISBLANK(MARKS!I21)),IF(MARKS!I21&gt;=75,4,IF(MARKS!I21&gt;=50,3,IF(MARKS!I21&gt;=25,2,1))),"")</f>
        <v>3</v>
      </c>
      <c r="J21" s="3">
        <f>IF(NOT(ISBLANK(MARKS!J21)),IF(MARKS!J21&gt;=75,4,IF(MARKS!J21&gt;=50,3,IF(MARKS!J21&gt;=25,2,1))),"")</f>
        <v>2</v>
      </c>
      <c r="K21" s="3">
        <f>IF(NOT(ISBLANK(MARKS!K21)),IF(MARKS!K21&gt;=75,4,IF(MARKS!K21&gt;=50,3,IF(MARKS!K21&gt;=25,2,1))),"")</f>
        <v>4</v>
      </c>
      <c r="L21" s="3">
        <f>IF(NOT(ISBLANK(MARKS!L21)),IF(MARKS!L21&gt;=75,4,IF(MARKS!L21&gt;=50,3,IF(MARKS!L21&gt;=25,2,1))),"")</f>
        <v>3</v>
      </c>
      <c r="M21" s="32">
        <f t="shared" si="0"/>
        <v>23</v>
      </c>
      <c r="N21" s="7">
        <f t="shared" si="1"/>
        <v>16</v>
      </c>
    </row>
    <row r="22" spans="2:14" ht="24" customHeight="1" thickBot="1" x14ac:dyDescent="0.3">
      <c r="B22" s="23">
        <f>MARKS!B22</f>
        <v>16</v>
      </c>
      <c r="C22" s="34" t="str">
        <f>MARKS!C23</f>
        <v>Najah Mohammed</v>
      </c>
      <c r="D22" s="23" t="str">
        <f>MARKS!D23</f>
        <v>F</v>
      </c>
      <c r="E22" s="3">
        <f>IF(NOT(ISBLANK(MARKS!E22)),IF(MARKS!E22&gt;=75,4,IF(MARKS!E22&gt;=50,3,IF(MARKS!E22&gt;=25,2,1))),"")</f>
        <v>3</v>
      </c>
      <c r="F22" s="3">
        <f>IF(NOT(ISBLANK(MARKS!F22)),IF(MARKS!F22&gt;=75,4,IF(MARKS!F22&gt;=50,3,IF(MARKS!F22&gt;=25,2,1))),"")</f>
        <v>4</v>
      </c>
      <c r="G22" s="3">
        <f>IF(NOT(ISBLANK(MARKS!G22)),IF(MARKS!G22&gt;=75,4,IF(MARKS!G22&gt;=50,3,IF(MARKS!G22&gt;=25,2,1))),"")</f>
        <v>2</v>
      </c>
      <c r="H22" s="3">
        <f>IF(NOT(ISBLANK(MARKS!H22)),IF(MARKS!H22&gt;=75,4,IF(MARKS!H22&gt;=50,3,IF(MARKS!H22&gt;=25,2,1))),"")</f>
        <v>3</v>
      </c>
      <c r="I22" s="3">
        <f>IF(NOT(ISBLANK(MARKS!I22)),IF(MARKS!I22&gt;=75,4,IF(MARKS!I22&gt;=50,3,IF(MARKS!I22&gt;=25,2,1))),"")</f>
        <v>3</v>
      </c>
      <c r="J22" s="3">
        <f>IF(NOT(ISBLANK(MARKS!J22)),IF(MARKS!J22&gt;=75,4,IF(MARKS!J22&gt;=50,3,IF(MARKS!J22&gt;=25,2,1))),"")</f>
        <v>3</v>
      </c>
      <c r="K22" s="3">
        <f>IF(NOT(ISBLANK(MARKS!K22)),IF(MARKS!K22&gt;=75,4,IF(MARKS!K22&gt;=50,3,IF(MARKS!K22&gt;=25,2,1))),"")</f>
        <v>3</v>
      </c>
      <c r="L22" s="3">
        <f>IF(NOT(ISBLANK(MARKS!L22)),IF(MARKS!L22&gt;=75,4,IF(MARKS!L22&gt;=50,3,IF(MARKS!L22&gt;=25,2,1))),"")</f>
        <v>3</v>
      </c>
      <c r="M22" s="32">
        <f t="shared" si="0"/>
        <v>24</v>
      </c>
      <c r="N22" s="7">
        <f t="shared" si="1"/>
        <v>13</v>
      </c>
    </row>
    <row r="23" spans="2:14" ht="24" customHeight="1" thickBot="1" x14ac:dyDescent="0.3">
      <c r="B23" s="23">
        <f>MARKS!B23</f>
        <v>17</v>
      </c>
      <c r="C23" s="34" t="str">
        <f>MARKS!C24</f>
        <v>Mahir Yussuf</v>
      </c>
      <c r="D23" s="23" t="str">
        <f>MARKS!D24</f>
        <v>M</v>
      </c>
      <c r="E23" s="3">
        <f>IF(NOT(ISBLANK(MARKS!E23)),IF(MARKS!E23&gt;=75,4,IF(MARKS!E23&gt;=50,3,IF(MARKS!E23&gt;=25,2,1))),"")</f>
        <v>3</v>
      </c>
      <c r="F23" s="3">
        <f>IF(NOT(ISBLANK(MARKS!F23)),IF(MARKS!F23&gt;=75,4,IF(MARKS!F23&gt;=50,3,IF(MARKS!F23&gt;=25,2,1))),"")</f>
        <v>3</v>
      </c>
      <c r="G23" s="3">
        <f>IF(NOT(ISBLANK(MARKS!G23)),IF(MARKS!G23&gt;=75,4,IF(MARKS!G23&gt;=50,3,IF(MARKS!G23&gt;=25,2,1))),"")</f>
        <v>3</v>
      </c>
      <c r="H23" s="3">
        <f>IF(NOT(ISBLANK(MARKS!H23)),IF(MARKS!H23&gt;=75,4,IF(MARKS!H23&gt;=50,3,IF(MARKS!H23&gt;=25,2,1))),"")</f>
        <v>3</v>
      </c>
      <c r="I23" s="3">
        <f>IF(NOT(ISBLANK(MARKS!I23)),IF(MARKS!I23&gt;=75,4,IF(MARKS!I23&gt;=50,3,IF(MARKS!I23&gt;=25,2,1))),"")</f>
        <v>2</v>
      </c>
      <c r="J23" s="3">
        <f>IF(NOT(ISBLANK(MARKS!J23)),IF(MARKS!J23&gt;=75,4,IF(MARKS!J23&gt;=50,3,IF(MARKS!J23&gt;=25,2,1))),"")</f>
        <v>3</v>
      </c>
      <c r="K23" s="3">
        <f>IF(NOT(ISBLANK(MARKS!K23)),IF(MARKS!K23&gt;=75,4,IF(MARKS!K23&gt;=50,3,IF(MARKS!K23&gt;=25,2,1))),"")</f>
        <v>3</v>
      </c>
      <c r="L23" s="3">
        <f>IF(NOT(ISBLANK(MARKS!L23)),IF(MARKS!L23&gt;=75,4,IF(MARKS!L23&gt;=50,3,IF(MARKS!L23&gt;=25,2,1))),"")</f>
        <v>3</v>
      </c>
      <c r="M23" s="32">
        <f t="shared" si="0"/>
        <v>23</v>
      </c>
      <c r="N23" s="7">
        <f t="shared" si="1"/>
        <v>16</v>
      </c>
    </row>
    <row r="24" spans="2:14" ht="24" customHeight="1" thickBot="1" x14ac:dyDescent="0.3">
      <c r="B24" s="23">
        <f>MARKS!B24</f>
        <v>18</v>
      </c>
      <c r="C24" s="34" t="str">
        <f>MARKS!C27</f>
        <v>Ahmad Mubarak</v>
      </c>
      <c r="D24" s="23" t="str">
        <f>MARKS!D27</f>
        <v>M</v>
      </c>
      <c r="E24" s="3">
        <f>IF(NOT(ISBLANK(MARKS!E24)),IF(MARKS!E24&gt;=75,4,IF(MARKS!E24&gt;=50,3,IF(MARKS!E24&gt;=25,2,1))),"")</f>
        <v>3</v>
      </c>
      <c r="F24" s="3">
        <f>IF(NOT(ISBLANK(MARKS!F24)),IF(MARKS!F24&gt;=75,4,IF(MARKS!F24&gt;=50,3,IF(MARKS!F24&gt;=25,2,1))),"")</f>
        <v>3</v>
      </c>
      <c r="G24" s="3">
        <f>IF(NOT(ISBLANK(MARKS!G24)),IF(MARKS!G24&gt;=75,4,IF(MARKS!G24&gt;=50,3,IF(MARKS!G24&gt;=25,2,1))),"")</f>
        <v>3</v>
      </c>
      <c r="H24" s="3">
        <f>IF(NOT(ISBLANK(MARKS!H24)),IF(MARKS!H24&gt;=75,4,IF(MARKS!H24&gt;=50,3,IF(MARKS!H24&gt;=25,2,1))),"")</f>
        <v>3</v>
      </c>
      <c r="I24" s="3">
        <f>IF(NOT(ISBLANK(MARKS!I24)),IF(MARKS!I24&gt;=75,4,IF(MARKS!I24&gt;=50,3,IF(MARKS!I24&gt;=25,2,1))),"")</f>
        <v>3</v>
      </c>
      <c r="J24" s="3">
        <f>IF(NOT(ISBLANK(MARKS!J24)),IF(MARKS!J24&gt;=75,4,IF(MARKS!J24&gt;=50,3,IF(MARKS!J24&gt;=25,2,1))),"")</f>
        <v>3</v>
      </c>
      <c r="K24" s="3">
        <f>IF(NOT(ISBLANK(MARKS!K24)),IF(MARKS!K24&gt;=75,4,IF(MARKS!K24&gt;=50,3,IF(MARKS!K24&gt;=25,2,1))),"")</f>
        <v>3</v>
      </c>
      <c r="L24" s="3">
        <f>IF(NOT(ISBLANK(MARKS!L24)),IF(MARKS!L24&gt;=75,4,IF(MARKS!L24&gt;=50,3,IF(MARKS!L24&gt;=25,2,1))),"")</f>
        <v>3</v>
      </c>
      <c r="M24" s="32">
        <f t="shared" si="0"/>
        <v>24</v>
      </c>
      <c r="N24" s="7">
        <f t="shared" si="1"/>
        <v>13</v>
      </c>
    </row>
    <row r="25" spans="2:14" ht="24" customHeight="1" thickBot="1" x14ac:dyDescent="0.3">
      <c r="B25" s="23">
        <f>MARKS!B25</f>
        <v>19</v>
      </c>
      <c r="C25" s="34" t="str">
        <f>MARKS!C28</f>
        <v>Ummulkheir Hamza</v>
      </c>
      <c r="D25" s="23" t="str">
        <f>MARKS!D28</f>
        <v>F</v>
      </c>
      <c r="E25" s="3">
        <f>IF(NOT(ISBLANK(MARKS!E25)),IF(MARKS!E25&gt;=75,4,IF(MARKS!E25&gt;=50,3,IF(MARKS!E25&gt;=25,2,1))),"")</f>
        <v>3</v>
      </c>
      <c r="F25" s="3">
        <f>IF(NOT(ISBLANK(MARKS!F25)),IF(MARKS!F25&gt;=75,4,IF(MARKS!F25&gt;=50,3,IF(MARKS!F25&gt;=25,2,1))),"")</f>
        <v>3</v>
      </c>
      <c r="G25" s="3">
        <f>IF(NOT(ISBLANK(MARKS!G25)),IF(MARKS!G25&gt;=75,4,IF(MARKS!G25&gt;=50,3,IF(MARKS!G25&gt;=25,2,1))),"")</f>
        <v>3</v>
      </c>
      <c r="H25" s="3">
        <f>IF(NOT(ISBLANK(MARKS!H25)),IF(MARKS!H25&gt;=75,4,IF(MARKS!H25&gt;=50,3,IF(MARKS!H25&gt;=25,2,1))),"")</f>
        <v>3</v>
      </c>
      <c r="I25" s="3">
        <f>IF(NOT(ISBLANK(MARKS!I25)),IF(MARKS!I25&gt;=75,4,IF(MARKS!I25&gt;=50,3,IF(MARKS!I25&gt;=25,2,1))),"")</f>
        <v>2</v>
      </c>
      <c r="J25" s="3">
        <f>IF(NOT(ISBLANK(MARKS!J25)),IF(MARKS!J25&gt;=75,4,IF(MARKS!J25&gt;=50,3,IF(MARKS!J25&gt;=25,2,1))),"")</f>
        <v>3</v>
      </c>
      <c r="K25" s="3">
        <f>IF(NOT(ISBLANK(MARKS!K25)),IF(MARKS!K25&gt;=75,4,IF(MARKS!K25&gt;=50,3,IF(MARKS!K25&gt;=25,2,1))),"")</f>
        <v>3</v>
      </c>
      <c r="L25" s="3">
        <f>IF(NOT(ISBLANK(MARKS!L25)),IF(MARKS!L25&gt;=75,4,IF(MARKS!L25&gt;=50,3,IF(MARKS!L25&gt;=25,2,1))),"")</f>
        <v>3</v>
      </c>
      <c r="M25" s="32">
        <f t="shared" si="0"/>
        <v>23</v>
      </c>
      <c r="N25" s="7">
        <f t="shared" si="1"/>
        <v>16</v>
      </c>
    </row>
    <row r="26" spans="2:14" ht="24" customHeight="1" thickBot="1" x14ac:dyDescent="0.3">
      <c r="B26" s="23">
        <f>MARKS!B26</f>
        <v>20</v>
      </c>
      <c r="C26" s="34" t="str">
        <f>MARKS!C21</f>
        <v>Aisha Adan</v>
      </c>
      <c r="D26" s="23" t="str">
        <f>MARKS!D21</f>
        <v>F</v>
      </c>
      <c r="E26" s="3">
        <f>IF(NOT(ISBLANK(MARKS!E26)),IF(MARKS!E26&gt;=75,4,IF(MARKS!E26&gt;=50,3,IF(MARKS!E26&gt;=25,2,1))),"")</f>
        <v>3</v>
      </c>
      <c r="F26" s="3">
        <f>IF(NOT(ISBLANK(MARKS!F26)),IF(MARKS!F26&gt;=75,4,IF(MARKS!F26&gt;=50,3,IF(MARKS!F26&gt;=25,2,1))),"")</f>
        <v>3</v>
      </c>
      <c r="G26" s="3">
        <f>IF(NOT(ISBLANK(MARKS!G26)),IF(MARKS!G26&gt;=75,4,IF(MARKS!G26&gt;=50,3,IF(MARKS!G26&gt;=25,2,1))),"")</f>
        <v>2</v>
      </c>
      <c r="H26" s="3">
        <f>IF(NOT(ISBLANK(MARKS!H26)),IF(MARKS!H26&gt;=75,4,IF(MARKS!H26&gt;=50,3,IF(MARKS!H26&gt;=25,2,1))),"")</f>
        <v>3</v>
      </c>
      <c r="I26" s="3">
        <f>IF(NOT(ISBLANK(MARKS!I26)),IF(MARKS!I26&gt;=75,4,IF(MARKS!I26&gt;=50,3,IF(MARKS!I26&gt;=25,2,1))),"")</f>
        <v>2</v>
      </c>
      <c r="J26" s="3">
        <f>IF(NOT(ISBLANK(MARKS!J26)),IF(MARKS!J26&gt;=75,4,IF(MARKS!J26&gt;=50,3,IF(MARKS!J26&gt;=25,2,1))),"")</f>
        <v>3</v>
      </c>
      <c r="K26" s="3">
        <f>IF(NOT(ISBLANK(MARKS!K26)),IF(MARKS!K26&gt;=75,4,IF(MARKS!K26&gt;=50,3,IF(MARKS!K26&gt;=25,2,1))),"")</f>
        <v>3</v>
      </c>
      <c r="L26" s="3">
        <f>IF(NOT(ISBLANK(MARKS!L26)),IF(MARKS!L26&gt;=75,4,IF(MARKS!L26&gt;=50,3,IF(MARKS!L26&gt;=25,2,1))),"")</f>
        <v>3</v>
      </c>
      <c r="M26" s="32">
        <f t="shared" si="0"/>
        <v>22</v>
      </c>
      <c r="N26" s="7">
        <f t="shared" si="1"/>
        <v>20</v>
      </c>
    </row>
    <row r="27" spans="2:14" ht="24" customHeight="1" thickBot="1" x14ac:dyDescent="0.3">
      <c r="B27" s="23">
        <f>MARKS!B27</f>
        <v>21</v>
      </c>
      <c r="C27" s="34" t="str">
        <f>MARKS!C25</f>
        <v>Abdulhafidh Ahmed</v>
      </c>
      <c r="D27" s="23" t="str">
        <f>MARKS!D25</f>
        <v>M</v>
      </c>
      <c r="E27" s="3">
        <f>IF(NOT(ISBLANK(MARKS!E27)),IF(MARKS!E27&gt;=75,4,IF(MARKS!E27&gt;=50,3,IF(MARKS!E27&gt;=25,2,1))),"")</f>
        <v>2</v>
      </c>
      <c r="F27" s="3">
        <f>IF(NOT(ISBLANK(MARKS!F27)),IF(MARKS!F27&gt;=75,4,IF(MARKS!F27&gt;=50,3,IF(MARKS!F27&gt;=25,2,1))),"")</f>
        <v>3</v>
      </c>
      <c r="G27" s="3">
        <f>IF(NOT(ISBLANK(MARKS!G27)),IF(MARKS!G27&gt;=75,4,IF(MARKS!G27&gt;=50,3,IF(MARKS!G27&gt;=25,2,1))),"")</f>
        <v>3</v>
      </c>
      <c r="H27" s="3">
        <f>IF(NOT(ISBLANK(MARKS!H27)),IF(MARKS!H27&gt;=75,4,IF(MARKS!H27&gt;=50,3,IF(MARKS!H27&gt;=25,2,1))),"")</f>
        <v>3</v>
      </c>
      <c r="I27" s="3">
        <f>IF(NOT(ISBLANK(MARKS!I27)),IF(MARKS!I27&gt;=75,4,IF(MARKS!I27&gt;=50,3,IF(MARKS!I27&gt;=25,2,1))),"")</f>
        <v>2</v>
      </c>
      <c r="J27" s="3">
        <f>IF(NOT(ISBLANK(MARKS!J27)),IF(MARKS!J27&gt;=75,4,IF(MARKS!J27&gt;=50,3,IF(MARKS!J27&gt;=25,2,1))),"")</f>
        <v>2</v>
      </c>
      <c r="K27" s="3">
        <f>IF(NOT(ISBLANK(MARKS!K27)),IF(MARKS!K27&gt;=75,4,IF(MARKS!K27&gt;=50,3,IF(MARKS!K27&gt;=25,2,1))),"")</f>
        <v>3</v>
      </c>
      <c r="L27" s="3">
        <f>IF(NOT(ISBLANK(MARKS!L27)),IF(MARKS!L27&gt;=75,4,IF(MARKS!L27&gt;=50,3,IF(MARKS!L27&gt;=25,2,1))),"")</f>
        <v>3</v>
      </c>
      <c r="M27" s="32">
        <f t="shared" si="0"/>
        <v>21</v>
      </c>
      <c r="N27" s="7">
        <f t="shared" si="1"/>
        <v>22</v>
      </c>
    </row>
    <row r="28" spans="2:14" ht="24" customHeight="1" thickBot="1" x14ac:dyDescent="0.3">
      <c r="B28" s="23">
        <f>MARKS!B28</f>
        <v>22</v>
      </c>
      <c r="C28" s="34" t="str">
        <f>MARKS!C26</f>
        <v>Bushra Abdurahman</v>
      </c>
      <c r="D28" s="23" t="str">
        <f>MARKS!D26</f>
        <v>F</v>
      </c>
      <c r="E28" s="3">
        <f>IF(NOT(ISBLANK(MARKS!E28)),IF(MARKS!E28&gt;=75,4,IF(MARKS!E28&gt;=50,3,IF(MARKS!E28&gt;=25,2,1))),"")</f>
        <v>2</v>
      </c>
      <c r="F28" s="3">
        <f>IF(NOT(ISBLANK(MARKS!F28)),IF(MARKS!F28&gt;=75,4,IF(MARKS!F28&gt;=50,3,IF(MARKS!F28&gt;=25,2,1))),"")</f>
        <v>3</v>
      </c>
      <c r="G28" s="3">
        <f>IF(NOT(ISBLANK(MARKS!G28)),IF(MARKS!G28&gt;=75,4,IF(MARKS!G28&gt;=50,3,IF(MARKS!G28&gt;=25,2,1))),"")</f>
        <v>3</v>
      </c>
      <c r="H28" s="3">
        <f>IF(NOT(ISBLANK(MARKS!H28)),IF(MARKS!H28&gt;=75,4,IF(MARKS!H28&gt;=50,3,IF(MARKS!H28&gt;=25,2,1))),"")</f>
        <v>3</v>
      </c>
      <c r="I28" s="3">
        <f>IF(NOT(ISBLANK(MARKS!I28)),IF(MARKS!I28&gt;=75,4,IF(MARKS!I28&gt;=50,3,IF(MARKS!I28&gt;=25,2,1))),"")</f>
        <v>3</v>
      </c>
      <c r="J28" s="3">
        <f>IF(NOT(ISBLANK(MARKS!J28)),IF(MARKS!J28&gt;=75,4,IF(MARKS!J28&gt;=50,3,IF(MARKS!J28&gt;=25,2,1))),"")</f>
        <v>2</v>
      </c>
      <c r="K28" s="3">
        <f>IF(NOT(ISBLANK(MARKS!K28)),IF(MARKS!K28&gt;=75,4,IF(MARKS!K28&gt;=50,3,IF(MARKS!K28&gt;=25,2,1))),"")</f>
        <v>3</v>
      </c>
      <c r="L28" s="3">
        <f>IF(NOT(ISBLANK(MARKS!L28)),IF(MARKS!L28&gt;=75,4,IF(MARKS!L28&gt;=50,3,IF(MARKS!L28&gt;=25,2,1))),"")</f>
        <v>3</v>
      </c>
      <c r="M28" s="32">
        <f t="shared" si="0"/>
        <v>22</v>
      </c>
      <c r="N28" s="7">
        <f t="shared" si="1"/>
        <v>20</v>
      </c>
    </row>
    <row r="29" spans="2:14" ht="24" customHeight="1" thickBot="1" x14ac:dyDescent="0.3">
      <c r="B29" s="23">
        <f>MARKS!B29</f>
        <v>23</v>
      </c>
      <c r="C29" s="34" t="str">
        <f>MARKS!C29</f>
        <v>Mwanamisi Ali</v>
      </c>
      <c r="D29" s="23" t="str">
        <f>MARKS!D29</f>
        <v>F</v>
      </c>
      <c r="E29" s="3">
        <f>IF(NOT(ISBLANK(MARKS!E29)),IF(MARKS!E29&gt;=75,4,IF(MARKS!E29&gt;=50,3,IF(MARKS!E29&gt;=25,2,1))),"")</f>
        <v>2</v>
      </c>
      <c r="F29" s="3">
        <f>IF(NOT(ISBLANK(MARKS!F29)),IF(MARKS!F29&gt;=75,4,IF(MARKS!F29&gt;=50,3,IF(MARKS!F29&gt;=25,2,1))),"")</f>
        <v>3</v>
      </c>
      <c r="G29" s="3">
        <f>IF(NOT(ISBLANK(MARKS!G29)),IF(MARKS!G29&gt;=75,4,IF(MARKS!G29&gt;=50,3,IF(MARKS!G29&gt;=25,2,1))),"")</f>
        <v>3</v>
      </c>
      <c r="H29" s="3">
        <f>IF(NOT(ISBLANK(MARKS!H29)),IF(MARKS!H29&gt;=75,4,IF(MARKS!H29&gt;=50,3,IF(MARKS!H29&gt;=25,2,1))),"")</f>
        <v>3</v>
      </c>
      <c r="I29" s="3">
        <f>IF(NOT(ISBLANK(MARKS!I29)),IF(MARKS!I29&gt;=75,4,IF(MARKS!I29&gt;=50,3,IF(MARKS!I29&gt;=25,2,1))),"")</f>
        <v>3</v>
      </c>
      <c r="J29" s="3">
        <f>IF(NOT(ISBLANK(MARKS!J29)),IF(MARKS!J29&gt;=75,4,IF(MARKS!J29&gt;=50,3,IF(MARKS!J29&gt;=25,2,1))),"")</f>
        <v>3</v>
      </c>
      <c r="K29" s="3">
        <f>IF(NOT(ISBLANK(MARKS!K29)),IF(MARKS!K29&gt;=75,4,IF(MARKS!K29&gt;=50,3,IF(MARKS!K29&gt;=25,2,1))),"")</f>
        <v>2</v>
      </c>
      <c r="L29" s="3">
        <f>IF(NOT(ISBLANK(MARKS!L29)),IF(MARKS!L29&gt;=75,4,IF(MARKS!L29&gt;=50,3,IF(MARKS!L29&gt;=25,2,1))),"")</f>
        <v>2</v>
      </c>
      <c r="M29" s="32">
        <f t="shared" si="0"/>
        <v>21</v>
      </c>
      <c r="N29" s="7">
        <f t="shared" si="1"/>
        <v>22</v>
      </c>
    </row>
    <row r="30" spans="2:14" ht="24" customHeight="1" thickBot="1" x14ac:dyDescent="0.3">
      <c r="B30" s="23">
        <f>MARKS!B30</f>
        <v>24</v>
      </c>
      <c r="C30" s="34" t="str">
        <f>MARKS!C30</f>
        <v>Abdulatif Ahmed</v>
      </c>
      <c r="D30" s="23" t="str">
        <f>MARKS!D30</f>
        <v>M</v>
      </c>
      <c r="E30" s="3">
        <f>IF(NOT(ISBLANK(MARKS!E30)),IF(MARKS!E30&gt;=75,4,IF(MARKS!E30&gt;=50,3,IF(MARKS!E30&gt;=25,2,1))),"")</f>
        <v>3</v>
      </c>
      <c r="F30" s="3">
        <f>IF(NOT(ISBLANK(MARKS!F30)),IF(MARKS!F30&gt;=75,4,IF(MARKS!F30&gt;=50,3,IF(MARKS!F30&gt;=25,2,1))),"")</f>
        <v>3</v>
      </c>
      <c r="G30" s="3">
        <f>IF(NOT(ISBLANK(MARKS!G30)),IF(MARKS!G30&gt;=75,4,IF(MARKS!G30&gt;=50,3,IF(MARKS!G30&gt;=25,2,1))),"")</f>
        <v>3</v>
      </c>
      <c r="H30" s="3">
        <f>IF(NOT(ISBLANK(MARKS!H30)),IF(MARKS!H30&gt;=75,4,IF(MARKS!H30&gt;=50,3,IF(MARKS!H30&gt;=25,2,1))),"")</f>
        <v>2</v>
      </c>
      <c r="I30" s="3">
        <f>IF(NOT(ISBLANK(MARKS!I30)),IF(MARKS!I30&gt;=75,4,IF(MARKS!I30&gt;=50,3,IF(MARKS!I30&gt;=25,2,1))),"")</f>
        <v>3</v>
      </c>
      <c r="J30" s="3">
        <f>IF(NOT(ISBLANK(MARKS!J30)),IF(MARKS!J30&gt;=75,4,IF(MARKS!J30&gt;=50,3,IF(MARKS!J30&gt;=25,2,1))),"")</f>
        <v>2</v>
      </c>
      <c r="K30" s="3">
        <f>IF(NOT(ISBLANK(MARKS!K30)),IF(MARKS!K30&gt;=75,4,IF(MARKS!K30&gt;=50,3,IF(MARKS!K30&gt;=25,2,1))),"")</f>
        <v>3</v>
      </c>
      <c r="L30" s="3">
        <f>IF(NOT(ISBLANK(MARKS!L30)),IF(MARKS!L30&gt;=75,4,IF(MARKS!L30&gt;=50,3,IF(MARKS!L30&gt;=25,2,1))),"")</f>
        <v>2</v>
      </c>
      <c r="M30" s="32">
        <f t="shared" si="0"/>
        <v>21</v>
      </c>
      <c r="N30" s="7">
        <f t="shared" si="1"/>
        <v>22</v>
      </c>
    </row>
    <row r="31" spans="2:14" ht="24" customHeight="1" thickBot="1" x14ac:dyDescent="0.3">
      <c r="B31" s="23">
        <f>MARKS!B31</f>
        <v>25</v>
      </c>
      <c r="C31" s="34" t="str">
        <f>MARKS!C31</f>
        <v>Shuaib Bashir</v>
      </c>
      <c r="D31" s="23" t="str">
        <f>MARKS!D31</f>
        <v>M</v>
      </c>
      <c r="E31" s="3">
        <f>IF(NOT(ISBLANK(MARKS!E31)),IF(MARKS!E31&gt;=75,4,IF(MARKS!E31&gt;=50,3,IF(MARKS!E31&gt;=25,2,1))),"")</f>
        <v>2</v>
      </c>
      <c r="F31" s="3">
        <f>IF(NOT(ISBLANK(MARKS!F31)),IF(MARKS!F31&gt;=75,4,IF(MARKS!F31&gt;=50,3,IF(MARKS!F31&gt;=25,2,1))),"")</f>
        <v>3</v>
      </c>
      <c r="G31" s="3">
        <f>IF(NOT(ISBLANK(MARKS!G31)),IF(MARKS!G31&gt;=75,4,IF(MARKS!G31&gt;=50,3,IF(MARKS!G31&gt;=25,2,1))),"")</f>
        <v>3</v>
      </c>
      <c r="H31" s="3">
        <f>IF(NOT(ISBLANK(MARKS!H31)),IF(MARKS!H31&gt;=75,4,IF(MARKS!H31&gt;=50,3,IF(MARKS!H31&gt;=25,2,1))),"")</f>
        <v>2</v>
      </c>
      <c r="I31" s="3">
        <f>IF(NOT(ISBLANK(MARKS!I31)),IF(MARKS!I31&gt;=75,4,IF(MARKS!I31&gt;=50,3,IF(MARKS!I31&gt;=25,2,1))),"")</f>
        <v>3</v>
      </c>
      <c r="J31" s="3">
        <f>IF(NOT(ISBLANK(MARKS!J31)),IF(MARKS!J31&gt;=75,4,IF(MARKS!J31&gt;=50,3,IF(MARKS!J31&gt;=25,2,1))),"")</f>
        <v>2</v>
      </c>
      <c r="K31" s="3">
        <f>IF(NOT(ISBLANK(MARKS!K31)),IF(MARKS!K31&gt;=75,4,IF(MARKS!K31&gt;=50,3,IF(MARKS!K31&gt;=25,2,1))),"")</f>
        <v>3</v>
      </c>
      <c r="L31" s="3">
        <f>IF(NOT(ISBLANK(MARKS!L31)),IF(MARKS!L31&gt;=75,4,IF(MARKS!L31&gt;=50,3,IF(MARKS!L31&gt;=25,2,1))),"")</f>
        <v>3</v>
      </c>
      <c r="M31" s="32">
        <f t="shared" si="0"/>
        <v>21</v>
      </c>
      <c r="N31" s="7">
        <f t="shared" si="1"/>
        <v>22</v>
      </c>
    </row>
    <row r="32" spans="2:14" ht="24" customHeight="1" thickBot="1" x14ac:dyDescent="0.3">
      <c r="B32" s="23">
        <f>MARKS!B32</f>
        <v>26</v>
      </c>
      <c r="C32" s="34" t="str">
        <f>MARKS!C32</f>
        <v>Yusra Abdulatif</v>
      </c>
      <c r="D32" s="23" t="str">
        <f>MARKS!D32</f>
        <v>F</v>
      </c>
      <c r="E32" s="3">
        <f>IF(NOT(ISBLANK(MARKS!E32)),IF(MARKS!E32&gt;=75,4,IF(MARKS!E32&gt;=50,3,IF(MARKS!E32&gt;=25,2,1))),"")</f>
        <v>2</v>
      </c>
      <c r="F32" s="3">
        <f>IF(NOT(ISBLANK(MARKS!F32)),IF(MARKS!F32&gt;=75,4,IF(MARKS!F32&gt;=50,3,IF(MARKS!F32&gt;=25,2,1))),"")</f>
        <v>4</v>
      </c>
      <c r="G32" s="3">
        <f>IF(NOT(ISBLANK(MARKS!G32)),IF(MARKS!G32&gt;=75,4,IF(MARKS!G32&gt;=50,3,IF(MARKS!G32&gt;=25,2,1))),"")</f>
        <v>2</v>
      </c>
      <c r="H32" s="3">
        <f>IF(NOT(ISBLANK(MARKS!H32)),IF(MARKS!H32&gt;=75,4,IF(MARKS!H32&gt;=50,3,IF(MARKS!H32&gt;=25,2,1))),"")</f>
        <v>3</v>
      </c>
      <c r="I32" s="3">
        <f>IF(NOT(ISBLANK(MARKS!I32)),IF(MARKS!I32&gt;=75,4,IF(MARKS!I32&gt;=50,3,IF(MARKS!I32&gt;=25,2,1))),"")</f>
        <v>2</v>
      </c>
      <c r="J32" s="3">
        <f>IF(NOT(ISBLANK(MARKS!J32)),IF(MARKS!J32&gt;=75,4,IF(MARKS!J32&gt;=50,3,IF(MARKS!J32&gt;=25,2,1))),"")</f>
        <v>2</v>
      </c>
      <c r="K32" s="3">
        <f>IF(NOT(ISBLANK(MARKS!K32)),IF(MARKS!K32&gt;=75,4,IF(MARKS!K32&gt;=50,3,IF(MARKS!K32&gt;=25,2,1))),"")</f>
        <v>2</v>
      </c>
      <c r="L32" s="3">
        <f>IF(NOT(ISBLANK(MARKS!L32)),IF(MARKS!L32&gt;=75,4,IF(MARKS!L32&gt;=50,3,IF(MARKS!L32&gt;=25,2,1))),"")</f>
        <v>3</v>
      </c>
      <c r="M32" s="32">
        <f t="shared" si="0"/>
        <v>20</v>
      </c>
      <c r="N32" s="7">
        <f t="shared" si="1"/>
        <v>26</v>
      </c>
    </row>
    <row r="33" spans="2:14" ht="24" customHeight="1" thickBot="1" x14ac:dyDescent="0.3">
      <c r="B33" s="23">
        <f>MARKS!B33</f>
        <v>27</v>
      </c>
      <c r="C33" s="34" t="str">
        <f>MARKS!C33</f>
        <v>Umeyma Omar</v>
      </c>
      <c r="D33" s="23" t="str">
        <f>MARKS!D33</f>
        <v>F</v>
      </c>
      <c r="E33" s="3">
        <f>IF(NOT(ISBLANK(MARKS!E33)),IF(MARKS!E33&gt;=75,4,IF(MARKS!E33&gt;=50,3,IF(MARKS!E33&gt;=25,2,1))),"")</f>
        <v>2</v>
      </c>
      <c r="F33" s="3">
        <f>IF(NOT(ISBLANK(MARKS!F33)),IF(MARKS!F33&gt;=75,4,IF(MARKS!F33&gt;=50,3,IF(MARKS!F33&gt;=25,2,1))),"")</f>
        <v>2</v>
      </c>
      <c r="G33" s="3">
        <f>IF(NOT(ISBLANK(MARKS!G33)),IF(MARKS!G33&gt;=75,4,IF(MARKS!G33&gt;=50,3,IF(MARKS!G33&gt;=25,2,1))),"")</f>
        <v>2</v>
      </c>
      <c r="H33" s="3">
        <f>IF(NOT(ISBLANK(MARKS!H33)),IF(MARKS!H33&gt;=75,4,IF(MARKS!H33&gt;=50,3,IF(MARKS!H33&gt;=25,2,1))),"")</f>
        <v>3</v>
      </c>
      <c r="I33" s="3">
        <f>IF(NOT(ISBLANK(MARKS!I33)),IF(MARKS!I33&gt;=75,4,IF(MARKS!I33&gt;=50,3,IF(MARKS!I33&gt;=25,2,1))),"")</f>
        <v>3</v>
      </c>
      <c r="J33" s="3">
        <f>IF(NOT(ISBLANK(MARKS!J33)),IF(MARKS!J33&gt;=75,4,IF(MARKS!J33&gt;=50,3,IF(MARKS!J33&gt;=25,2,1))),"")</f>
        <v>2</v>
      </c>
      <c r="K33" s="3">
        <f>IF(NOT(ISBLANK(MARKS!K33)),IF(MARKS!K33&gt;=75,4,IF(MARKS!K33&gt;=50,3,IF(MARKS!K33&gt;=25,2,1))),"")</f>
        <v>2</v>
      </c>
      <c r="L33" s="3">
        <f>IF(NOT(ISBLANK(MARKS!L33)),IF(MARKS!L33&gt;=75,4,IF(MARKS!L33&gt;=50,3,IF(MARKS!L33&gt;=25,2,1))),"")</f>
        <v>3</v>
      </c>
      <c r="M33" s="32">
        <f t="shared" si="0"/>
        <v>19</v>
      </c>
      <c r="N33" s="7">
        <f t="shared" si="1"/>
        <v>27</v>
      </c>
    </row>
    <row r="34" spans="2:14" ht="24" customHeight="1" thickBot="1" x14ac:dyDescent="0.3">
      <c r="B34" s="23">
        <f>MARKS!B34</f>
        <v>28</v>
      </c>
      <c r="C34" s="35" t="str">
        <f>MARKS!C34</f>
        <v>Balqis Abdirahman</v>
      </c>
      <c r="D34" s="30" t="str">
        <f>MARKS!D34</f>
        <v>F</v>
      </c>
      <c r="E34" s="3">
        <f>IF(NOT(ISBLANK(MARKS!E34)),IF(MARKS!E34&gt;=75,4,IF(MARKS!E34&gt;=50,3,IF(MARKS!E34&gt;=25,2,1))),"")</f>
        <v>2</v>
      </c>
      <c r="F34" s="3">
        <f>IF(NOT(ISBLANK(MARKS!F34)),IF(MARKS!F34&gt;=75,4,IF(MARKS!F34&gt;=50,3,IF(MARKS!F34&gt;=25,2,1))),"")</f>
        <v>2</v>
      </c>
      <c r="G34" s="3">
        <f>IF(NOT(ISBLANK(MARKS!G34)),IF(MARKS!G34&gt;=75,4,IF(MARKS!G34&gt;=50,3,IF(MARKS!G34&gt;=25,2,1))),"")</f>
        <v>2</v>
      </c>
      <c r="H34" s="3">
        <f>IF(NOT(ISBLANK(MARKS!H34)),IF(MARKS!H34&gt;=75,4,IF(MARKS!H34&gt;=50,3,IF(MARKS!H34&gt;=25,2,1))),"")</f>
        <v>2</v>
      </c>
      <c r="I34" s="3">
        <f>IF(NOT(ISBLANK(MARKS!I34)),IF(MARKS!I34&gt;=75,4,IF(MARKS!I34&gt;=50,3,IF(MARKS!I34&gt;=25,2,1))),"")</f>
        <v>2</v>
      </c>
      <c r="J34" s="3">
        <f>IF(NOT(ISBLANK(MARKS!J34)),IF(MARKS!J34&gt;=75,4,IF(MARKS!J34&gt;=50,3,IF(MARKS!J34&gt;=25,2,1))),"")</f>
        <v>2</v>
      </c>
      <c r="K34" s="3">
        <f>IF(NOT(ISBLANK(MARKS!K34)),IF(MARKS!K34&gt;=75,4,IF(MARKS!K34&gt;=50,3,IF(MARKS!K34&gt;=25,2,1))),"")</f>
        <v>2</v>
      </c>
      <c r="L34" s="3">
        <f>IF(NOT(ISBLANK(MARKS!L34)),IF(MARKS!L34&gt;=75,4,IF(MARKS!L34&gt;=50,3,IF(MARKS!L34&gt;=25,2,1))),"")</f>
        <v>1</v>
      </c>
      <c r="M34" s="41">
        <f t="shared" si="0"/>
        <v>15</v>
      </c>
      <c r="N34" s="42">
        <f t="shared" si="1"/>
        <v>28</v>
      </c>
    </row>
    <row r="35" spans="2:14" ht="24" customHeight="1" thickBot="1" x14ac:dyDescent="0.3">
      <c r="B35" s="48"/>
      <c r="C35" s="25" t="s">
        <v>6</v>
      </c>
      <c r="D35" s="36"/>
      <c r="E35" s="25">
        <f>SUM(E7:E34)</f>
        <v>80</v>
      </c>
      <c r="F35" s="25">
        <f t="shared" ref="F35:L35" si="2">SUM(F7:F34)</f>
        <v>89</v>
      </c>
      <c r="G35" s="25">
        <f t="shared" si="2"/>
        <v>80</v>
      </c>
      <c r="H35" s="25">
        <f t="shared" si="2"/>
        <v>83</v>
      </c>
      <c r="I35" s="25">
        <f t="shared" si="2"/>
        <v>77</v>
      </c>
      <c r="J35" s="25">
        <f t="shared" si="2"/>
        <v>84</v>
      </c>
      <c r="K35" s="25">
        <f t="shared" si="2"/>
        <v>87</v>
      </c>
      <c r="L35" s="25">
        <f t="shared" si="2"/>
        <v>90</v>
      </c>
      <c r="M35" s="44"/>
      <c r="N35" s="12"/>
    </row>
    <row r="36" spans="2:14" ht="24" customHeight="1" x14ac:dyDescent="0.25">
      <c r="B36" s="49"/>
      <c r="C36" s="26" t="s">
        <v>9</v>
      </c>
      <c r="D36" s="37"/>
      <c r="E36" s="46">
        <f>AVERAGE(E7:E34)</f>
        <v>2.8571428571428572</v>
      </c>
      <c r="F36" s="46">
        <f t="shared" ref="F36:L36" si="3">AVERAGE(F7:F34)</f>
        <v>3.1785714285714284</v>
      </c>
      <c r="G36" s="46">
        <f t="shared" si="3"/>
        <v>2.8571428571428572</v>
      </c>
      <c r="H36" s="46">
        <f t="shared" si="3"/>
        <v>2.9642857142857144</v>
      </c>
      <c r="I36" s="46">
        <f t="shared" si="3"/>
        <v>2.75</v>
      </c>
      <c r="J36" s="46">
        <f t="shared" si="3"/>
        <v>3</v>
      </c>
      <c r="K36" s="46">
        <f t="shared" si="3"/>
        <v>3.1071428571428572</v>
      </c>
      <c r="L36" s="46">
        <f t="shared" si="3"/>
        <v>3.2142857142857144</v>
      </c>
      <c r="M36" s="43"/>
      <c r="N36" s="14"/>
    </row>
    <row r="37" spans="2:14" ht="24" customHeight="1" thickBot="1" x14ac:dyDescent="0.3">
      <c r="B37" s="50"/>
      <c r="C37" s="27" t="s">
        <v>7</v>
      </c>
      <c r="D37" s="38"/>
      <c r="E37" s="27">
        <f>RANK(E36,$E$36:$L$36)</f>
        <v>6</v>
      </c>
      <c r="F37" s="27">
        <f t="shared" ref="F37:L37" si="4">RANK(F36,$E$36:$L$36)</f>
        <v>2</v>
      </c>
      <c r="G37" s="27">
        <f t="shared" si="4"/>
        <v>6</v>
      </c>
      <c r="H37" s="27">
        <f t="shared" si="4"/>
        <v>5</v>
      </c>
      <c r="I37" s="27">
        <f t="shared" si="4"/>
        <v>8</v>
      </c>
      <c r="J37" s="27">
        <f t="shared" si="4"/>
        <v>4</v>
      </c>
      <c r="K37" s="27">
        <f t="shared" si="4"/>
        <v>3</v>
      </c>
      <c r="L37" s="27">
        <f t="shared" si="4"/>
        <v>1</v>
      </c>
      <c r="M37" s="45"/>
      <c r="N37" s="16"/>
    </row>
    <row r="39" spans="2:14" ht="18.75" x14ac:dyDescent="0.3">
      <c r="B39" s="33" t="s">
        <v>12</v>
      </c>
      <c r="C39" s="33"/>
      <c r="D39" s="33" t="str">
        <f>MARKS!D39</f>
        <v>Monday, September 29, 2025</v>
      </c>
      <c r="E39" s="33"/>
      <c r="F39" s="33"/>
      <c r="K39" s="22" t="s">
        <v>14</v>
      </c>
      <c r="L39" s="22"/>
    </row>
  </sheetData>
  <mergeCells count="3">
    <mergeCell ref="D2:L2"/>
    <mergeCell ref="D3:L3"/>
    <mergeCell ref="B35:B37"/>
  </mergeCells>
  <pageMargins left="0.7" right="0.7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MARKS</vt:lpstr>
      <vt:lpstr>Grades</vt:lpstr>
      <vt:lpstr>Grades!Print_Area</vt:lpstr>
      <vt:lpstr>MARKS!Print_Area</vt:lpstr>
      <vt:lpstr>MARKS!Print_Titles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2025-09-29T11:13:43Z</cp:lastPrinted>
  <dcterms:created xsi:type="dcterms:W3CDTF">2025-09-19T09:42:50Z</dcterms:created>
  <dcterms:modified xsi:type="dcterms:W3CDTF">2025-09-29T11:13:48Z</dcterms:modified>
</cp:coreProperties>
</file>